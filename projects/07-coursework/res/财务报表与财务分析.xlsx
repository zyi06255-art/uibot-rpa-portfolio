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1" activeTab="3"/>
  </bookViews>
  <sheets>
    <sheet name="资产负债表" sheetId="1" r:id="rId1"/>
    <sheet name="利润表" sheetId="2" r:id="rId2"/>
    <sheet name="现金流量表" sheetId="3" r:id="rId3"/>
    <sheet name="盈利能力分析" sheetId="4" r:id="rId4"/>
    <sheet name="偿债能力分析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<sst xmlns="http://schemas.openxmlformats.org/spreadsheetml/2006/main" count="668" uniqueCount="214">
  <si>
    <t>项目</t>
  </si>
  <si>
    <t>金额</t>
  </si>
  <si>
    <t>报表日期</t>
  </si>
  <si>
    <t>流动资产</t>
  </si>
  <si>
    <t>货币资金</t>
  </si>
  <si>
    <t>交易性金融资产</t>
  </si>
  <si>
    <t>衍生金融资产</t>
  </si>
  <si>
    <t>应收票据及应收账款</t>
  </si>
  <si>
    <t>应收票据</t>
  </si>
  <si>
    <t>应收账款</t>
  </si>
  <si>
    <t>应收款项融资</t>
  </si>
  <si>
    <t>预付款项</t>
  </si>
  <si>
    <t>其他应收款(合计)</t>
  </si>
  <si>
    <t>应收利息</t>
  </si>
  <si>
    <t>应收股利</t>
  </si>
  <si>
    <t>其他应收款</t>
  </si>
  <si>
    <t>买入返售金融资产</t>
  </si>
  <si>
    <t>存货</t>
  </si>
  <si>
    <t>划分为持有待售的资产</t>
  </si>
  <si>
    <t>一年内到期的非流动资产</t>
  </si>
  <si>
    <t>待摊费用</t>
  </si>
  <si>
    <t>待处理流动资产损益</t>
  </si>
  <si>
    <t>其他流动资产</t>
  </si>
  <si>
    <t>流动资产合计</t>
  </si>
  <si>
    <t>非流动资产</t>
  </si>
  <si>
    <t>发放贷款及垫款</t>
  </si>
  <si>
    <t>可供出售金融资产</t>
  </si>
  <si>
    <t>持有至到期投资</t>
  </si>
  <si>
    <t>长期应收款</t>
  </si>
  <si>
    <t>长期股权投资</t>
  </si>
  <si>
    <t>投资性房地产</t>
  </si>
  <si>
    <t>在建工程(合计)</t>
  </si>
  <si>
    <t>在建工程</t>
  </si>
  <si>
    <t>工程物资</t>
  </si>
  <si>
    <t>固定资产及清理(合计)</t>
  </si>
  <si>
    <t>固定资产净额</t>
  </si>
  <si>
    <t>固定资产清理</t>
  </si>
  <si>
    <t>生产性生物资产</t>
  </si>
  <si>
    <t>公益性生物资产</t>
  </si>
  <si>
    <t>油气资产</t>
  </si>
  <si>
    <t>使用权资产</t>
  </si>
  <si>
    <t>无形资产</t>
  </si>
  <si>
    <t>开发支出</t>
  </si>
  <si>
    <t>商誉</t>
  </si>
  <si>
    <t>长期待摊费用</t>
  </si>
  <si>
    <t>递延所得税资产</t>
  </si>
  <si>
    <t>其他非流动资产</t>
  </si>
  <si>
    <t>非流动资产合计</t>
  </si>
  <si>
    <t>资产总计</t>
  </si>
  <si>
    <t>流动负债</t>
  </si>
  <si>
    <t>短期借款</t>
  </si>
  <si>
    <t>交易性金融负债</t>
  </si>
  <si>
    <t>应付票据及应付账款</t>
  </si>
  <si>
    <t>应付票据</t>
  </si>
  <si>
    <t>应付账款</t>
  </si>
  <si>
    <t>预收款项</t>
  </si>
  <si>
    <t>应付手续费及佣金</t>
  </si>
  <si>
    <t>应付职工薪酬</t>
  </si>
  <si>
    <t>应交税费</t>
  </si>
  <si>
    <t>其他应付款(合计)</t>
  </si>
  <si>
    <t>应付利息</t>
  </si>
  <si>
    <t>应付股利</t>
  </si>
  <si>
    <t>其他应付款</t>
  </si>
  <si>
    <t>预提费用</t>
  </si>
  <si>
    <t>一年内的递延收益</t>
  </si>
  <si>
    <t>应付短期债券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</si>
  <si>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</si>
  <si>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</si>
  <si>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</si>
  <si>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</si>
  <si>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</si>
  <si>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</si>
  <si>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租赁负债</t>
  </si>
  <si>
    <t>长期应付职工薪酬</t>
  </si>
  <si>
    <t>长期应付款(合计)</t>
  </si>
  <si>
    <t>长期应付款</t>
  </si>
  <si>
    <t>专项应付款</t>
  </si>
  <si>
    <t>预计非流动负债</t>
  </si>
  <si>
    <t>递延所得税负债</t>
  </si>
  <si>
    <t>长期递延收益</t>
  </si>
  <si>
    <t>其他非流动负债</t>
  </si>
  <si>
    <t>非流动负债合计</t>
  </si>
  <si>
    <t>负债合计</t>
  </si>
  <si>
    <t>所有者权益</t>
  </si>
  <si>
    <t>实收资本(或股本)</t>
  </si>
  <si>
    <t>资本公积</t>
  </si>
  <si>
    <t>减：库存股</t>
  </si>
  <si>
    <t>其他综合收益</t>
  </si>
  <si>
    <t>专项储备</t>
  </si>
  <si>
    <t>盈余公积</t>
  </si>
  <si>
    <t>一般风险准备</t>
  </si>
  <si>
    <t>未分配利润</t>
  </si>
  <si>
    <t>归属于母公司股东权益合计</t>
  </si>
  <si>
    <t>少数股东权益</t>
  </si>
  <si>
    <t>所有者权益(或股东权益)合计</t>
  </si>
  <si>
    <t>负债和所有者权益(或股东权益)总计</t>
  </si>
  <si>
    <t>一、营业总收入</t>
  </si>
  <si>
    <t>营业收入</t>
  </si>
  <si>
    <t>二、营业总成本</t>
  </si>
  <si>
    <t>营业成本</t>
  </si>
  <si>
    <t>营业税金及附加</t>
  </si>
  <si>
    <t>销售费用</t>
  </si>
  <si>
    <t>管理费用</t>
  </si>
  <si>
    <t>财务费用</t>
  </si>
  <si>
    <t>研发费用</t>
  </si>
  <si>
    <t>资产减值损失</t>
  </si>
  <si>
    <t>公允价值变动收益</t>
  </si>
  <si>
    <t>投资收益</t>
  </si>
  <si>
    <t>其中:对联营企业和合营企业的投资收益</t>
  </si>
  <si>
    <t>汇兑收益</t>
  </si>
  <si>
    <t>三、营业利润</t>
  </si>
  <si>
    <t>加:营业外收入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</si>
  <si>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</si>
  <si>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</si>
  <si>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</si>
  <si>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</si>
  <si>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</si>
  <si>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归属于母公司所有者的净利润</t>
  </si>
  <si>
    <t>少数股东损益</t>
  </si>
  <si>
    <t>六、每股收益</t>
  </si>
  <si>
    <t>nan</t>
  </si>
  <si>
    <t>基本每股收益(元/股)</t>
  </si>
  <si>
    <t>稀释每股收益(元/股)</t>
  </si>
  <si>
    <t>七、其他综合收益</t>
  </si>
  <si>
    <t>八、综合收益总额</t>
  </si>
  <si>
    <t>归属于母公司所有者的综合收益总额</t>
  </si>
  <si>
    <t>归属于少数股东的综合收益总额</t>
  </si>
  <si>
    <t>一、经营活动产生的现金流量</t>
  </si>
  <si>
    <t>销售商品、提供劳务收到的现金</t>
  </si>
  <si>
    <t>收到的税费返还</t>
  </si>
  <si>
    <t>收到的其他与经营活动有关的现金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</si>
  <si>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</si>
  <si>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</si>
  <si>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</si>
  <si>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</si>
  <si>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支付的其他与经营活动有关的现金</t>
  </si>
  <si>
    <t>经营活动现金流出小计</t>
  </si>
  <si>
    <t>经营活动产生的现金流量净额</t>
  </si>
  <si>
    <t>二、投资活动产生的现金流量</t>
  </si>
  <si>
    <t>收回投资所收到的现金</t>
  </si>
  <si>
    <t>取得投资收益所收到的现金</t>
  </si>
  <si>
    <t>处置固定资产、无形资产和其他长期资产所收回的现金净额</t>
  </si>
  <si>
    <t>处置子公司及其他营业单位收到的现金净额</t>
  </si>
  <si>
    <t>收到的其他与投资活动有关的现金</t>
  </si>
  <si>
    <t>投资活动现金流入小计</t>
  </si>
  <si>
    <t>购建固定资产、无形资产和其他长期资产所支付的现金</t>
  </si>
  <si>
    <t>投资所支付的现金</t>
  </si>
  <si>
    <t>取得子公司及其他营业单位支付的现金净额</t>
  </si>
  <si>
    <t>支付的其他与投资活动有关的现金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</si>
  <si>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</si>
  <si>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</si>
  <si>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</si>
  <si>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</si>
  <si>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</si>
  <si>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</si>
  <si>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</si>
  <si>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</si>
  <si>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</si>
  <si>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</si>
  <si>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分配股利、利润或偿付利息所支付的现金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</si>
  <si>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</si>
  <si>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</si>
  <si>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</si>
  <si>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</si>
  <si>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</si>
  <si>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</si>
  <si>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加:期初现金及现金等价物余额</t>
  </si>
  <si>
    <t>六、期末现金及现金等价物余额</t>
  </si>
  <si>
    <t>附注</t>
  </si>
  <si>
    <t>净利润</t>
  </si>
  <si>
    <t>未确认的投资损失</t>
  </si>
  <si>
    <t>资产减值准备</t>
  </si>
  <si>
    <t>固定资产折旧、油气资产折耗、生产性物资折旧</t>
  </si>
  <si>
    <t>无形资产摊销</t>
  </si>
  <si>
    <t>长期待摊费用摊销</t>
  </si>
  <si>
    <t>待摊费用的减少</t>
  </si>
  <si>
    <t>预提费用的增加</t>
  </si>
  <si>
    <t>处置固定资产、无形资产和其他长期资产的损失</t>
  </si>
  <si>
    <t>固定资产报废损失</t>
  </si>
  <si>
    <t>公允价值变动损失</t>
  </si>
  <si>
    <t>递延收益增加（减：减少）</t>
  </si>
  <si>
    <t>预计负债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</si>
  <si>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</si>
  <si>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</si>
  <si>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</si>
  <si>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</si>
  <si>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</si>
  <si>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</si>
  <si>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已完工尚未结算款的减少(减:增加)</t>
  </si>
  <si>
    <t>已结算尚未完工款的增加(减:减少)</t>
  </si>
  <si>
    <t>其他</t>
  </si>
  <si>
    <t>经营活动产生现金流量净额</t>
  </si>
  <si>
    <t>债务转为资本</t>
  </si>
  <si>
    <t>一年内到期的可转换公司债券</t>
  </si>
  <si>
    <t>融资租入固定资产</t>
  </si>
  <si>
    <t>现金的期末余额</t>
  </si>
  <si>
    <t>现金的期初余额</t>
  </si>
  <si>
    <t>现金等价物的期末余额</t>
  </si>
  <si>
    <t>现金等价物的期初余额</t>
  </si>
  <si>
    <t>现金及现金等价物的净增加额</t>
  </si>
  <si>
    <t>盈利能力分析</t>
  </si>
  <si>
    <t>2024年</t>
  </si>
  <si>
    <t>2025年</t>
  </si>
  <si>
    <t>增长率</t>
  </si>
  <si>
    <t>营业利润率</t>
  </si>
  <si>
    <t>销售利润率</t>
  </si>
  <si>
    <t>成本费用利润率</t>
  </si>
  <si>
    <t>净资产收益率</t>
  </si>
  <si>
    <t>总资产报酬率</t>
  </si>
  <si>
    <t>偿债能力分析</t>
  </si>
  <si>
    <t>现金比率</t>
  </si>
  <si>
    <t>速动比率</t>
  </si>
  <si>
    <t>流动比率</t>
  </si>
  <si>
    <t>产权比率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</si>
</sst>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5"/>
  <sheetViews>
    <sheetView workbookViewId="0">
      <selection activeCell="A1" sqref="A$1:I$1048576"/>
    </sheetView>
  </sheetViews>
  <sheetFormatPr defaultColWidth="9" defaultRowHeight="15"/>
  <sheetData>
    <row r="1" spans="1:10">
      <c r="A1" t="s">
        <v>0</v>
      </c>
      <c r="B1" t="s">
        <v>1</v>
      </c>
      <c r="E1" t="s">
        <v>0</v>
      </c>
      <c r="F1" t="s">
        <v>1</v>
      </c>
      <c r="I1" t="s">
        <v>0</v>
      </c>
      <c r="J1" t="s">
        <v>1</v>
      </c>
    </row>
    <row r="2" spans="1:10">
      <c r="A2" t="s">
        <v>2</v>
      </c>
      <c r="B2" s="2">
        <v>45291</v>
      </c>
      <c r="E2" s="2" t="s">
        <v>2</v>
      </c>
      <c r="F2" s="2">
        <v>45657</v>
      </c>
      <c r="H2" s="2"/>
      <c r="I2" t="s">
        <v>2</v>
      </c>
      <c r="J2" s="2">
        <v>46022</v>
      </c>
    </row>
    <row r="3" spans="1:10">
      <c r="A3" t="s">
        <v>3</v>
      </c>
      <c r="B3" t="s">
        <v>3</v>
      </c>
      <c r="E3" t="s">
        <v>3</v>
      </c>
      <c r="F3" t="s">
        <v>3</v>
      </c>
      <c r="I3" t="s">
        <v>3</v>
      </c>
      <c r="J3" t="s">
        <v>3</v>
      </c>
    </row>
    <row r="4" spans="1:10">
      <c r="A4" t="s">
        <v>4</v>
      </c>
      <c r="B4">
        <v>155825.2</v>
      </c>
      <c r="E4" t="s">
        <v>4</v>
      </c>
      <c r="F4">
        <v>205585.68</v>
      </c>
      <c r="I4" t="s">
        <v>4</v>
      </c>
      <c r="J4">
        <v>239685.15</v>
      </c>
    </row>
    <row r="5" spans="1:10">
      <c r="A5" t="s">
        <v>5</v>
      </c>
      <c r="B5" s="3">
        <v>72380.03</v>
      </c>
      <c r="C5" s="3"/>
      <c r="E5" t="s">
        <v>5</v>
      </c>
      <c r="F5" s="3">
        <v>69397.27</v>
      </c>
      <c r="G5" s="3"/>
      <c r="I5" t="s">
        <v>5</v>
      </c>
      <c r="J5">
        <v>109406.76</v>
      </c>
    </row>
    <row r="6" spans="1:10">
      <c r="A6" t="s">
        <v>6</v>
      </c>
      <c r="B6">
        <v>0</v>
      </c>
      <c r="E6" t="s">
        <v>6</v>
      </c>
      <c r="F6">
        <v>0</v>
      </c>
      <c r="I6" t="s">
        <v>6</v>
      </c>
      <c r="J6">
        <v>0</v>
      </c>
    </row>
    <row r="7" spans="1:10">
      <c r="A7" t="s">
        <v>7</v>
      </c>
      <c r="B7">
        <v>92611.04</v>
      </c>
      <c r="E7" t="s">
        <v>7</v>
      </c>
      <c r="F7">
        <v>90050.85</v>
      </c>
      <c r="I7" t="s">
        <v>7</v>
      </c>
      <c r="J7">
        <v>92724.39</v>
      </c>
    </row>
    <row r="8" spans="1:10">
      <c r="A8" t="s">
        <v>8</v>
      </c>
      <c r="B8">
        <v>9964.27</v>
      </c>
      <c r="E8" t="s">
        <v>8</v>
      </c>
      <c r="F8" s="3">
        <v>5134</v>
      </c>
      <c r="G8" s="3"/>
      <c r="I8" t="s">
        <v>8</v>
      </c>
      <c r="J8">
        <v>3750.07</v>
      </c>
    </row>
    <row r="9" spans="1:10">
      <c r="A9" t="s">
        <v>9</v>
      </c>
      <c r="B9" s="3">
        <v>82646.77</v>
      </c>
      <c r="C9" s="3"/>
      <c r="E9" t="s">
        <v>9</v>
      </c>
      <c r="F9">
        <v>84916.85</v>
      </c>
      <c r="I9" t="s">
        <v>9</v>
      </c>
      <c r="J9">
        <v>88974.32</v>
      </c>
    </row>
    <row r="10" spans="1:10">
      <c r="A10" t="s">
        <v>10</v>
      </c>
      <c r="B10" s="3">
        <v>1824.82</v>
      </c>
      <c r="C10" s="3"/>
      <c r="E10" t="s">
        <v>10</v>
      </c>
      <c r="F10" s="3">
        <v>1018.49</v>
      </c>
      <c r="G10" s="3"/>
      <c r="I10" t="s">
        <v>10</v>
      </c>
      <c r="J10">
        <v>1033.53</v>
      </c>
    </row>
    <row r="11" spans="1:10">
      <c r="A11" t="s">
        <v>11</v>
      </c>
      <c r="B11">
        <v>5186.34</v>
      </c>
      <c r="E11" t="s">
        <v>11</v>
      </c>
      <c r="F11" s="3">
        <v>9434.03</v>
      </c>
      <c r="G11" s="3"/>
      <c r="I11" t="s">
        <v>11</v>
      </c>
      <c r="J11">
        <v>7023.31</v>
      </c>
    </row>
    <row r="12" spans="1:10">
      <c r="A12" t="s">
        <v>12</v>
      </c>
      <c r="B12" s="3">
        <v>2216.88</v>
      </c>
      <c r="C12" s="3"/>
      <c r="E12" t="s">
        <v>12</v>
      </c>
      <c r="F12" s="3">
        <v>2310.75</v>
      </c>
      <c r="G12" s="3"/>
      <c r="I12" t="s">
        <v>12</v>
      </c>
      <c r="J12">
        <v>3545.22</v>
      </c>
    </row>
    <row r="13" spans="1:10">
      <c r="A13" t="s">
        <v>13</v>
      </c>
      <c r="B13" s="3">
        <v>0</v>
      </c>
      <c r="C13" s="3"/>
      <c r="E13" t="s">
        <v>13</v>
      </c>
      <c r="F13">
        <v>0</v>
      </c>
      <c r="I13" t="s">
        <v>13</v>
      </c>
      <c r="J13">
        <v>0</v>
      </c>
    </row>
    <row r="14" spans="1:10">
      <c r="A14" t="s">
        <v>14</v>
      </c>
      <c r="B14" s="3">
        <v>0</v>
      </c>
      <c r="C14" s="3"/>
      <c r="E14" t="s">
        <v>14</v>
      </c>
      <c r="F14" s="3">
        <v>0</v>
      </c>
      <c r="G14" s="3"/>
      <c r="I14" t="s">
        <v>14</v>
      </c>
      <c r="J14">
        <v>126.72</v>
      </c>
    </row>
    <row r="15" spans="1:10">
      <c r="A15" t="s">
        <v>15</v>
      </c>
      <c r="B15">
        <v>2216.88</v>
      </c>
      <c r="E15" t="s">
        <v>15</v>
      </c>
      <c r="F15" s="3">
        <v>2310.75</v>
      </c>
      <c r="G15" s="3"/>
      <c r="I15" t="s">
        <v>15</v>
      </c>
      <c r="J15">
        <v>0</v>
      </c>
    </row>
    <row r="16" spans="1:10">
      <c r="A16" t="s">
        <v>16</v>
      </c>
      <c r="B16">
        <v>0</v>
      </c>
      <c r="E16" t="s">
        <v>16</v>
      </c>
      <c r="F16">
        <v>0</v>
      </c>
      <c r="I16" t="s">
        <v>16</v>
      </c>
      <c r="J16">
        <v>0</v>
      </c>
    </row>
    <row r="17" spans="1:10">
      <c r="A17" t="s">
        <v>17</v>
      </c>
      <c r="B17" s="3">
        <v>212413.96</v>
      </c>
      <c r="C17" s="3"/>
      <c r="E17" t="s">
        <v>17</v>
      </c>
      <c r="F17">
        <v>201988.44</v>
      </c>
      <c r="I17" t="s">
        <v>17</v>
      </c>
      <c r="J17">
        <v>210730</v>
      </c>
    </row>
    <row r="18" spans="1:10">
      <c r="A18" t="s">
        <v>18</v>
      </c>
      <c r="B18" s="3">
        <v>0</v>
      </c>
      <c r="C18" s="3"/>
      <c r="E18" t="s">
        <v>18</v>
      </c>
      <c r="F18" s="3">
        <v>0</v>
      </c>
      <c r="G18" s="3"/>
      <c r="I18" t="s">
        <v>18</v>
      </c>
      <c r="J18">
        <v>0</v>
      </c>
    </row>
    <row r="19" spans="1:10">
      <c r="A19" t="s">
        <v>19</v>
      </c>
      <c r="B19">
        <v>0</v>
      </c>
      <c r="E19" t="s">
        <v>19</v>
      </c>
      <c r="F19" s="3">
        <v>15417.66</v>
      </c>
      <c r="G19" s="3"/>
      <c r="I19" t="s">
        <v>19</v>
      </c>
      <c r="J19">
        <v>0</v>
      </c>
    </row>
    <row r="20" spans="1:10">
      <c r="A20" t="s">
        <v>20</v>
      </c>
      <c r="B20">
        <v>0</v>
      </c>
      <c r="E20" t="s">
        <v>20</v>
      </c>
      <c r="F20">
        <v>0</v>
      </c>
      <c r="I20" t="s">
        <v>20</v>
      </c>
      <c r="J20">
        <v>0</v>
      </c>
    </row>
    <row r="21" spans="1:10">
      <c r="A21" t="s">
        <v>21</v>
      </c>
      <c r="B21" s="3">
        <v>0</v>
      </c>
      <c r="C21" s="3"/>
      <c r="E21" t="s">
        <v>21</v>
      </c>
      <c r="F21">
        <v>0</v>
      </c>
      <c r="I21" t="s">
        <v>21</v>
      </c>
      <c r="J21">
        <v>0</v>
      </c>
    </row>
    <row r="22" spans="1:10">
      <c r="A22" t="s">
        <v>22</v>
      </c>
      <c r="B22">
        <v>14511.21</v>
      </c>
      <c r="E22" t="s">
        <v>22</v>
      </c>
      <c r="F22" s="3">
        <v>5903.45</v>
      </c>
      <c r="G22" s="3"/>
      <c r="I22" t="s">
        <v>22</v>
      </c>
      <c r="J22">
        <v>1776.51</v>
      </c>
    </row>
    <row r="23" spans="1:10">
      <c r="A23" t="s">
        <v>23</v>
      </c>
      <c r="B23">
        <v>556969.49</v>
      </c>
      <c r="E23" t="s">
        <v>23</v>
      </c>
      <c r="F23">
        <v>601106.63</v>
      </c>
      <c r="I23" t="s">
        <v>23</v>
      </c>
      <c r="J23">
        <v>665924.86</v>
      </c>
    </row>
    <row r="24" spans="1:10">
      <c r="A24" t="s">
        <v>24</v>
      </c>
      <c r="B24" s="3" t="s">
        <v>24</v>
      </c>
      <c r="C24" s="3"/>
      <c r="E24" t="s">
        <v>24</v>
      </c>
      <c r="F24" t="s">
        <v>24</v>
      </c>
      <c r="I24" t="s">
        <v>24</v>
      </c>
      <c r="J24" t="s">
        <v>24</v>
      </c>
    </row>
    <row r="25" spans="1:10">
      <c r="A25" t="s">
        <v>25</v>
      </c>
      <c r="B25" s="3">
        <v>0</v>
      </c>
      <c r="C25" s="3"/>
      <c r="E25" t="s">
        <v>25</v>
      </c>
      <c r="F25" s="3">
        <v>0</v>
      </c>
      <c r="G25" s="3"/>
      <c r="I25" t="s">
        <v>25</v>
      </c>
      <c r="J25">
        <v>0</v>
      </c>
    </row>
    <row r="26" spans="1:10">
      <c r="A26" t="s">
        <v>26</v>
      </c>
      <c r="B26" s="3">
        <v>0</v>
      </c>
      <c r="C26" s="3"/>
      <c r="E26" t="s">
        <v>26</v>
      </c>
      <c r="F26" s="3">
        <v>0</v>
      </c>
      <c r="G26" s="3"/>
      <c r="I26" t="s">
        <v>26</v>
      </c>
      <c r="J26">
        <v>0</v>
      </c>
    </row>
    <row r="27" spans="1:10">
      <c r="A27" t="s">
        <v>27</v>
      </c>
      <c r="B27" s="3">
        <v>0</v>
      </c>
      <c r="E27" t="s">
        <v>27</v>
      </c>
      <c r="F27" s="3">
        <v>0</v>
      </c>
      <c r="G27" s="3"/>
      <c r="I27" t="s">
        <v>27</v>
      </c>
      <c r="J27">
        <v>0</v>
      </c>
    </row>
    <row r="28" spans="1:10">
      <c r="A28" t="s">
        <v>28</v>
      </c>
      <c r="B28">
        <v>0</v>
      </c>
      <c r="E28" t="s">
        <v>28</v>
      </c>
      <c r="F28">
        <v>0</v>
      </c>
      <c r="G28" s="3"/>
      <c r="I28" t="s">
        <v>28</v>
      </c>
      <c r="J28">
        <v>0</v>
      </c>
    </row>
    <row r="29" spans="1:10">
      <c r="A29" t="s">
        <v>29</v>
      </c>
      <c r="B29">
        <v>14353.75</v>
      </c>
      <c r="E29" t="s">
        <v>29</v>
      </c>
      <c r="F29" s="3">
        <v>12008.43</v>
      </c>
      <c r="G29" s="3"/>
      <c r="I29" t="s">
        <v>29</v>
      </c>
      <c r="J29">
        <v>9987.79</v>
      </c>
    </row>
    <row r="30" spans="1:10">
      <c r="A30" t="s">
        <v>30</v>
      </c>
      <c r="B30" s="3">
        <v>1957.82</v>
      </c>
      <c r="C30" s="3"/>
      <c r="E30" t="s">
        <v>30</v>
      </c>
      <c r="F30">
        <v>1867.55</v>
      </c>
      <c r="I30" t="s">
        <v>30</v>
      </c>
      <c r="J30">
        <v>1777.29</v>
      </c>
    </row>
    <row r="31" spans="1:10">
      <c r="A31" t="s">
        <v>31</v>
      </c>
      <c r="B31">
        <v>86849.69</v>
      </c>
      <c r="E31" t="s">
        <v>31</v>
      </c>
      <c r="F31" s="3">
        <v>9502.67</v>
      </c>
      <c r="G31" s="3"/>
      <c r="I31" t="s">
        <v>31</v>
      </c>
      <c r="J31">
        <v>9015.72</v>
      </c>
    </row>
    <row r="32" spans="1:10">
      <c r="A32" t="s">
        <v>32</v>
      </c>
      <c r="B32" s="3">
        <v>38311.33</v>
      </c>
      <c r="C32" s="3"/>
      <c r="E32" t="s">
        <v>32</v>
      </c>
      <c r="F32">
        <v>7704.77</v>
      </c>
      <c r="I32" t="s">
        <v>32</v>
      </c>
      <c r="J32">
        <v>0</v>
      </c>
    </row>
    <row r="33" spans="1:10">
      <c r="A33" t="s">
        <v>33</v>
      </c>
      <c r="B33">
        <v>48538.35</v>
      </c>
      <c r="E33" t="s">
        <v>33</v>
      </c>
      <c r="F33">
        <v>1797.91</v>
      </c>
      <c r="I33" t="s">
        <v>33</v>
      </c>
      <c r="J33">
        <v>0</v>
      </c>
    </row>
    <row r="34" spans="1:10">
      <c r="A34" t="s">
        <v>34</v>
      </c>
      <c r="B34">
        <v>559769.25</v>
      </c>
      <c r="E34" t="s">
        <v>34</v>
      </c>
      <c r="F34" s="3">
        <v>605375.6</v>
      </c>
      <c r="G34" s="3"/>
      <c r="I34" t="s">
        <v>34</v>
      </c>
      <c r="J34">
        <v>570532.57</v>
      </c>
    </row>
    <row r="35" spans="1:10">
      <c r="A35" t="s">
        <v>35</v>
      </c>
      <c r="B35" s="3">
        <v>559769.25</v>
      </c>
      <c r="C35" s="3"/>
      <c r="E35" t="s">
        <v>35</v>
      </c>
      <c r="F35">
        <v>605375.6</v>
      </c>
      <c r="I35" t="s">
        <v>35</v>
      </c>
      <c r="J35">
        <v>570532.57</v>
      </c>
    </row>
    <row r="36" spans="1:10">
      <c r="A36" t="s">
        <v>36</v>
      </c>
      <c r="B36">
        <v>0</v>
      </c>
      <c r="E36" t="s">
        <v>36</v>
      </c>
      <c r="F36" s="3">
        <v>0</v>
      </c>
      <c r="G36" s="3"/>
      <c r="I36" t="s">
        <v>36</v>
      </c>
      <c r="J36">
        <v>0</v>
      </c>
    </row>
    <row r="37" spans="1:10">
      <c r="A37" t="s">
        <v>37</v>
      </c>
      <c r="B37" s="3">
        <v>0</v>
      </c>
      <c r="C37" s="3"/>
      <c r="E37" t="s">
        <v>37</v>
      </c>
      <c r="F37" s="3">
        <v>0</v>
      </c>
      <c r="G37" s="3"/>
      <c r="I37" t="s">
        <v>37</v>
      </c>
      <c r="J37">
        <v>0</v>
      </c>
    </row>
    <row r="38" spans="1:10">
      <c r="A38" t="s">
        <v>38</v>
      </c>
      <c r="B38" s="3">
        <v>0</v>
      </c>
      <c r="C38" s="3"/>
      <c r="E38" t="s">
        <v>38</v>
      </c>
      <c r="F38" s="3">
        <v>0</v>
      </c>
      <c r="G38" s="3"/>
      <c r="I38" t="s">
        <v>38</v>
      </c>
      <c r="J38">
        <v>0</v>
      </c>
    </row>
    <row r="39" spans="1:10">
      <c r="A39" t="s">
        <v>39</v>
      </c>
      <c r="B39" s="3">
        <v>0</v>
      </c>
      <c r="C39" s="3"/>
      <c r="E39" t="s">
        <v>39</v>
      </c>
      <c r="F39">
        <v>0</v>
      </c>
      <c r="I39" t="s">
        <v>39</v>
      </c>
      <c r="J39">
        <v>0</v>
      </c>
    </row>
    <row r="40" spans="1:10">
      <c r="A40" t="s">
        <v>40</v>
      </c>
      <c r="B40">
        <v>46322.64</v>
      </c>
      <c r="E40" t="s">
        <v>40</v>
      </c>
      <c r="F40">
        <v>47023.89</v>
      </c>
      <c r="I40" t="s">
        <v>40</v>
      </c>
      <c r="J40">
        <v>43736.6</v>
      </c>
    </row>
    <row r="41" spans="1:10">
      <c r="A41" t="s">
        <v>41</v>
      </c>
      <c r="B41">
        <v>34334.79</v>
      </c>
      <c r="E41" t="s">
        <v>41</v>
      </c>
      <c r="F41" s="3">
        <v>33338.47</v>
      </c>
      <c r="G41" s="3"/>
      <c r="I41" t="s">
        <v>41</v>
      </c>
      <c r="J41">
        <v>32254.86</v>
      </c>
    </row>
    <row r="42" spans="1:10">
      <c r="A42" t="s">
        <v>42</v>
      </c>
      <c r="B42" s="3">
        <v>0</v>
      </c>
      <c r="C42" s="3"/>
      <c r="E42" t="s">
        <v>42</v>
      </c>
      <c r="F42">
        <v>0</v>
      </c>
      <c r="I42" t="s">
        <v>42</v>
      </c>
      <c r="J42">
        <v>0</v>
      </c>
    </row>
    <row r="43" spans="1:10">
      <c r="A43" t="s">
        <v>43</v>
      </c>
      <c r="B43">
        <v>2056.38</v>
      </c>
      <c r="E43" t="s">
        <v>43</v>
      </c>
      <c r="F43">
        <v>2056.38</v>
      </c>
      <c r="I43" t="s">
        <v>43</v>
      </c>
      <c r="J43">
        <v>2056.38</v>
      </c>
    </row>
    <row r="44" spans="1:10">
      <c r="A44" t="s">
        <v>44</v>
      </c>
      <c r="B44">
        <v>181.58</v>
      </c>
      <c r="E44" t="s">
        <v>44</v>
      </c>
      <c r="F44" s="3">
        <v>563.46</v>
      </c>
      <c r="G44" s="3"/>
      <c r="I44" t="s">
        <v>44</v>
      </c>
      <c r="J44">
        <v>296.67</v>
      </c>
    </row>
    <row r="45" spans="1:10">
      <c r="A45" t="s">
        <v>45</v>
      </c>
      <c r="B45">
        <v>15789.21</v>
      </c>
      <c r="E45" t="s">
        <v>45</v>
      </c>
      <c r="F45" s="3">
        <v>14853.05</v>
      </c>
      <c r="G45" s="3"/>
      <c r="I45" t="s">
        <v>45</v>
      </c>
      <c r="J45">
        <v>14757.12</v>
      </c>
    </row>
    <row r="46" spans="1:10">
      <c r="A46" t="s">
        <v>46</v>
      </c>
      <c r="B46" s="3">
        <v>15569.03</v>
      </c>
      <c r="C46" s="3"/>
      <c r="E46" t="s">
        <v>46</v>
      </c>
      <c r="F46" s="3">
        <v>56995.43</v>
      </c>
      <c r="G46" s="3"/>
      <c r="I46" t="s">
        <v>46</v>
      </c>
      <c r="J46">
        <v>51500.43</v>
      </c>
    </row>
    <row r="47" spans="1:10">
      <c r="A47" t="s">
        <v>47</v>
      </c>
      <c r="B47" s="3">
        <v>786059.14</v>
      </c>
      <c r="C47" s="3"/>
      <c r="E47" t="s">
        <v>47</v>
      </c>
      <c r="F47" s="3">
        <v>791864.94</v>
      </c>
      <c r="G47" s="3"/>
      <c r="I47" t="s">
        <v>47</v>
      </c>
      <c r="J47">
        <v>744751.43</v>
      </c>
    </row>
    <row r="48" spans="1:10">
      <c r="A48" t="s">
        <v>48</v>
      </c>
      <c r="B48" s="3">
        <v>1343028.62</v>
      </c>
      <c r="C48" s="3"/>
      <c r="E48" t="s">
        <v>48</v>
      </c>
      <c r="F48" s="3">
        <v>1392971.56</v>
      </c>
      <c r="G48" s="3"/>
      <c r="I48" t="s">
        <v>48</v>
      </c>
      <c r="J48">
        <v>1410676.29</v>
      </c>
    </row>
    <row r="49" spans="1:10">
      <c r="A49" t="s">
        <v>49</v>
      </c>
      <c r="B49" s="3" t="s">
        <v>49</v>
      </c>
      <c r="C49" s="3"/>
      <c r="E49" t="s">
        <v>49</v>
      </c>
      <c r="F49" s="3" t="s">
        <v>49</v>
      </c>
      <c r="G49" s="3"/>
      <c r="I49" t="s">
        <v>49</v>
      </c>
      <c r="J49" t="s">
        <v>49</v>
      </c>
    </row>
    <row r="50" spans="1:10">
      <c r="A50" t="s">
        <v>50</v>
      </c>
      <c r="B50" s="3">
        <v>58070.48</v>
      </c>
      <c r="C50" s="3"/>
      <c r="E50" t="s">
        <v>50</v>
      </c>
      <c r="F50" s="3">
        <v>84968.68</v>
      </c>
      <c r="I50" t="s">
        <v>50</v>
      </c>
      <c r="J50">
        <v>65283.69</v>
      </c>
    </row>
    <row r="51" spans="1:10">
      <c r="A51" t="s">
        <v>51</v>
      </c>
      <c r="B51">
        <v>4678.58</v>
      </c>
      <c r="E51" t="s">
        <v>51</v>
      </c>
      <c r="F51">
        <v>1585.87</v>
      </c>
      <c r="I51" t="s">
        <v>51</v>
      </c>
      <c r="J51">
        <v>0</v>
      </c>
    </row>
    <row r="52" spans="1:10">
      <c r="A52" t="s">
        <v>52</v>
      </c>
      <c r="B52" s="3">
        <v>27550.29</v>
      </c>
      <c r="C52" s="3"/>
      <c r="E52" t="s">
        <v>52</v>
      </c>
      <c r="F52" s="3">
        <v>27207.91</v>
      </c>
      <c r="G52" s="3"/>
      <c r="I52" t="s">
        <v>52</v>
      </c>
      <c r="J52">
        <v>23234.82</v>
      </c>
    </row>
    <row r="53" spans="1:10">
      <c r="A53" t="s">
        <v>53</v>
      </c>
      <c r="B53">
        <v>0</v>
      </c>
      <c r="E53" t="s">
        <v>53</v>
      </c>
      <c r="F53">
        <v>0</v>
      </c>
      <c r="I53" t="s">
        <v>53</v>
      </c>
      <c r="J53">
        <v>0</v>
      </c>
    </row>
    <row r="54" spans="1:10">
      <c r="A54" t="s">
        <v>54</v>
      </c>
      <c r="B54" s="3">
        <v>27550.29</v>
      </c>
      <c r="C54" s="3"/>
      <c r="E54" t="s">
        <v>54</v>
      </c>
      <c r="F54" s="3">
        <v>27207.91</v>
      </c>
      <c r="G54" s="3"/>
      <c r="I54" t="s">
        <v>54</v>
      </c>
      <c r="J54">
        <v>23234.82</v>
      </c>
    </row>
    <row r="55" spans="1:10">
      <c r="A55" t="s">
        <v>55</v>
      </c>
      <c r="B55">
        <v>0</v>
      </c>
      <c r="E55" t="s">
        <v>55</v>
      </c>
      <c r="F55">
        <v>0</v>
      </c>
      <c r="I55" t="s">
        <v>55</v>
      </c>
      <c r="J55">
        <v>0</v>
      </c>
    </row>
    <row r="56" spans="1:10">
      <c r="A56" t="s">
        <v>56</v>
      </c>
      <c r="B56" s="3">
        <v>0</v>
      </c>
      <c r="C56" s="3"/>
      <c r="E56" t="s">
        <v>56</v>
      </c>
      <c r="F56" s="3">
        <v>0</v>
      </c>
      <c r="G56" s="3"/>
      <c r="I56" t="s">
        <v>56</v>
      </c>
      <c r="J56">
        <v>0</v>
      </c>
    </row>
    <row r="57" spans="1:10">
      <c r="A57" t="s">
        <v>57</v>
      </c>
      <c r="B57">
        <v>28434.5</v>
      </c>
      <c r="E57" t="s">
        <v>57</v>
      </c>
      <c r="F57">
        <v>30122.74</v>
      </c>
      <c r="I57" t="s">
        <v>57</v>
      </c>
      <c r="J57">
        <v>30149.72</v>
      </c>
    </row>
    <row r="58" spans="1:10">
      <c r="A58" t="s">
        <v>58</v>
      </c>
      <c r="B58">
        <v>4263.32</v>
      </c>
      <c r="E58" t="s">
        <v>58</v>
      </c>
      <c r="F58">
        <v>5726.19</v>
      </c>
      <c r="I58" t="s">
        <v>58</v>
      </c>
      <c r="J58">
        <v>5887.34</v>
      </c>
    </row>
    <row r="59" spans="1:10">
      <c r="A59" t="s">
        <v>59</v>
      </c>
      <c r="B59" s="3">
        <v>4754.94</v>
      </c>
      <c r="C59" s="3"/>
      <c r="E59" t="s">
        <v>59</v>
      </c>
      <c r="F59">
        <v>1743.78</v>
      </c>
      <c r="I59" t="s">
        <v>59</v>
      </c>
      <c r="J59">
        <v>1758.08</v>
      </c>
    </row>
    <row r="60" spans="1:10">
      <c r="A60" t="s">
        <v>60</v>
      </c>
      <c r="B60">
        <v>0</v>
      </c>
      <c r="E60" t="s">
        <v>60</v>
      </c>
      <c r="F60">
        <v>0</v>
      </c>
      <c r="I60" t="s">
        <v>60</v>
      </c>
      <c r="J60">
        <v>0</v>
      </c>
    </row>
    <row r="61" spans="1:10">
      <c r="A61" t="s">
        <v>61</v>
      </c>
      <c r="B61">
        <v>44.11</v>
      </c>
      <c r="E61" t="s">
        <v>61</v>
      </c>
      <c r="F61" s="3">
        <v>44.11</v>
      </c>
      <c r="G61" s="3"/>
      <c r="I61" t="s">
        <v>61</v>
      </c>
      <c r="J61">
        <v>44.11</v>
      </c>
    </row>
    <row r="62" spans="1:10">
      <c r="A62" t="s">
        <v>62</v>
      </c>
      <c r="B62">
        <v>4710.83</v>
      </c>
      <c r="E62" t="s">
        <v>62</v>
      </c>
      <c r="F62">
        <v>1699.67</v>
      </c>
      <c r="I62" t="s">
        <v>62</v>
      </c>
      <c r="J62">
        <v>0</v>
      </c>
    </row>
    <row r="63" spans="1:10">
      <c r="A63" t="s">
        <v>63</v>
      </c>
      <c r="B63">
        <v>0</v>
      </c>
      <c r="E63" t="s">
        <v>63</v>
      </c>
      <c r="F63" s="3">
        <v>0</v>
      </c>
      <c r="G63" s="3"/>
      <c r="I63" t="s">
        <v>63</v>
      </c>
      <c r="J63">
        <v>0</v>
      </c>
    </row>
    <row r="64" spans="1:10">
      <c r="A64" t="s">
        <v>64</v>
      </c>
      <c r="B64" s="3">
        <v>0</v>
      </c>
      <c r="C64" s="3"/>
      <c r="E64" t="s">
        <v>64</v>
      </c>
      <c r="F64">
        <v>0</v>
      </c>
      <c r="I64" t="s">
        <v>64</v>
      </c>
      <c r="J64">
        <v>0</v>
      </c>
    </row>
    <row r="65" spans="1:10">
      <c r="A65" t="s">
        <v>65</v>
      </c>
      <c r="B65">
        <v>0</v>
      </c>
      <c r="E65" t="s">
        <v>65</v>
      </c>
      <c r="F65">
        <v>0</v>
      </c>
      <c r="I65" t="s">
        <v>65</v>
      </c>
      <c r="J65">
        <v>0</v>
      </c>
    </row>
    <row r="66" spans="1:10">
      <c r="A66" t="s">
        <v>66</v>
      </c>
      <c r="B66">
        <v>9620.72</v>
      </c>
      <c r="E66" t="s">
        <v>66</v>
      </c>
      <c r="F66" s="3">
        <v>2778.86</v>
      </c>
      <c r="G66" s="3"/>
      <c r="I66" t="s">
        <v>66</v>
      </c>
      <c r="J66">
        <v>187056.26</v>
      </c>
    </row>
    <row r="67" spans="1:10">
      <c r="A67" t="s">
        <v>67</v>
      </c>
      <c r="B67" s="3">
        <v>6364.69</v>
      </c>
      <c r="C67" s="3"/>
      <c r="E67" t="s">
        <v>67</v>
      </c>
      <c r="F67" s="3">
        <v>4282.95</v>
      </c>
      <c r="G67" s="3"/>
      <c r="I67" t="s">
        <v>67</v>
      </c>
      <c r="J67">
        <v>3393.22</v>
      </c>
    </row>
    <row r="68" spans="1:10">
      <c r="A68" t="s">
        <v>68</v>
      </c>
      <c r="B68">
        <v>162544.85</v>
      </c>
      <c r="E68" t="s">
        <v>68</v>
      </c>
      <c r="F68">
        <v>177572.08</v>
      </c>
      <c r="I68" t="s">
        <v>68</v>
      </c>
      <c r="J68">
        <v>334636.64</v>
      </c>
    </row>
    <row r="69" spans="1:10">
      <c r="A69" t="s">
        <v>69</v>
      </c>
      <c r="B69" t="s">
        <v>69</v>
      </c>
      <c r="E69" t="s">
        <v>69</v>
      </c>
      <c r="F69" t="s">
        <v>69</v>
      </c>
      <c r="I69" t="s">
        <v>69</v>
      </c>
      <c r="J69" t="s">
        <v>69</v>
      </c>
    </row>
    <row r="70" spans="1:10">
      <c r="A70" t="s">
        <v>70</v>
      </c>
      <c r="B70" s="3">
        <v>25999.3</v>
      </c>
      <c r="C70" s="3"/>
      <c r="E70" t="s">
        <v>70</v>
      </c>
      <c r="F70" s="3">
        <v>39624.41</v>
      </c>
      <c r="G70" s="3"/>
      <c r="I70" t="s">
        <v>70</v>
      </c>
      <c r="J70">
        <v>24791.27</v>
      </c>
    </row>
    <row r="71" spans="1:10">
      <c r="A71" t="s">
        <v>71</v>
      </c>
      <c r="B71" s="3">
        <v>147657.21</v>
      </c>
      <c r="C71" s="3"/>
      <c r="E71" t="s">
        <v>71</v>
      </c>
      <c r="F71">
        <v>150942.04</v>
      </c>
      <c r="I71" t="s">
        <v>71</v>
      </c>
      <c r="J71">
        <v>0</v>
      </c>
    </row>
    <row r="72" spans="1:10">
      <c r="A72" t="s">
        <v>72</v>
      </c>
      <c r="B72">
        <v>8658.02</v>
      </c>
      <c r="E72" t="s">
        <v>72</v>
      </c>
      <c r="F72">
        <v>9135.33</v>
      </c>
      <c r="I72" t="s">
        <v>72</v>
      </c>
      <c r="J72">
        <v>7415.93</v>
      </c>
    </row>
    <row r="73" spans="1:10">
      <c r="A73" t="s">
        <v>73</v>
      </c>
      <c r="B73">
        <v>5727.67</v>
      </c>
      <c r="E73" t="s">
        <v>73</v>
      </c>
      <c r="F73">
        <v>5849.5</v>
      </c>
      <c r="I73" t="s">
        <v>73</v>
      </c>
      <c r="J73">
        <v>5824.13</v>
      </c>
    </row>
    <row r="74" spans="1:10">
      <c r="A74" t="s">
        <v>74</v>
      </c>
      <c r="B74" s="3">
        <v>0</v>
      </c>
      <c r="C74" s="3"/>
      <c r="E74" t="s">
        <v>74</v>
      </c>
      <c r="F74" s="3">
        <v>0</v>
      </c>
      <c r="G74" s="3"/>
      <c r="I74" t="s">
        <v>74</v>
      </c>
      <c r="J74">
        <v>0</v>
      </c>
    </row>
    <row r="75" spans="1:10">
      <c r="A75" t="s">
        <v>75</v>
      </c>
      <c r="B75">
        <v>0</v>
      </c>
      <c r="E75" t="s">
        <v>75</v>
      </c>
      <c r="F75">
        <v>0</v>
      </c>
      <c r="I75" t="s">
        <v>75</v>
      </c>
      <c r="J75">
        <v>0</v>
      </c>
    </row>
    <row r="76" spans="1:10">
      <c r="A76" t="s">
        <v>76</v>
      </c>
      <c r="B76">
        <v>0</v>
      </c>
      <c r="E76" t="s">
        <v>76</v>
      </c>
      <c r="F76">
        <v>0</v>
      </c>
      <c r="I76" t="s">
        <v>76</v>
      </c>
      <c r="J76">
        <v>0</v>
      </c>
    </row>
    <row r="77" spans="1:10">
      <c r="A77" t="s">
        <v>77</v>
      </c>
      <c r="B77">
        <v>0</v>
      </c>
      <c r="E77" t="s">
        <v>77</v>
      </c>
      <c r="F77">
        <v>0</v>
      </c>
      <c r="I77" t="s">
        <v>77</v>
      </c>
      <c r="J77">
        <v>0</v>
      </c>
    </row>
    <row r="78" spans="1:10">
      <c r="A78" t="s">
        <v>78</v>
      </c>
      <c r="B78" s="3">
        <v>15517.88</v>
      </c>
      <c r="C78" s="3"/>
      <c r="E78" t="s">
        <v>78</v>
      </c>
      <c r="F78" s="3">
        <v>13151.9</v>
      </c>
      <c r="G78" s="3"/>
      <c r="I78" t="s">
        <v>78</v>
      </c>
      <c r="J78">
        <v>11051.43</v>
      </c>
    </row>
    <row r="79" spans="1:10">
      <c r="A79" t="s">
        <v>79</v>
      </c>
      <c r="B79">
        <v>15176.89</v>
      </c>
      <c r="E79" t="s">
        <v>79</v>
      </c>
      <c r="F79" s="3">
        <v>14539.51</v>
      </c>
      <c r="G79" s="3"/>
      <c r="I79" t="s">
        <v>79</v>
      </c>
      <c r="J79">
        <v>13947.33</v>
      </c>
    </row>
    <row r="80" spans="1:10">
      <c r="A80" t="s">
        <v>80</v>
      </c>
      <c r="B80">
        <v>0</v>
      </c>
      <c r="E80" t="s">
        <v>80</v>
      </c>
      <c r="F80" s="3">
        <v>0</v>
      </c>
      <c r="G80" s="3"/>
      <c r="I80" t="s">
        <v>80</v>
      </c>
      <c r="J80">
        <v>0</v>
      </c>
    </row>
    <row r="81" spans="1:10">
      <c r="A81" t="s">
        <v>81</v>
      </c>
      <c r="B81">
        <v>218736.97</v>
      </c>
      <c r="E81" t="s">
        <v>81</v>
      </c>
      <c r="F81" s="3">
        <v>233242.7</v>
      </c>
      <c r="G81" s="3"/>
      <c r="I81" t="s">
        <v>81</v>
      </c>
      <c r="J81">
        <v>63030.09</v>
      </c>
    </row>
    <row r="82" spans="1:10">
      <c r="A82" t="s">
        <v>82</v>
      </c>
      <c r="B82" s="3">
        <v>381281.82</v>
      </c>
      <c r="C82" s="3"/>
      <c r="E82" t="s">
        <v>82</v>
      </c>
      <c r="F82">
        <v>410814.78</v>
      </c>
      <c r="I82" t="s">
        <v>82</v>
      </c>
      <c r="J82">
        <v>397666.73</v>
      </c>
    </row>
    <row r="83" spans="1:10">
      <c r="A83" t="s">
        <v>83</v>
      </c>
      <c r="B83" s="3" t="s">
        <v>83</v>
      </c>
      <c r="C83" s="3"/>
      <c r="E83" t="s">
        <v>83</v>
      </c>
      <c r="F83" t="s">
        <v>83</v>
      </c>
      <c r="I83" t="s">
        <v>83</v>
      </c>
      <c r="J83" t="s">
        <v>83</v>
      </c>
    </row>
    <row r="84" spans="1:10">
      <c r="A84" t="s">
        <v>84</v>
      </c>
      <c r="B84" s="3">
        <v>86360.76</v>
      </c>
      <c r="C84" s="3"/>
      <c r="E84" t="s">
        <v>84</v>
      </c>
      <c r="F84">
        <v>81730.6</v>
      </c>
      <c r="I84" t="s">
        <v>84</v>
      </c>
      <c r="J84">
        <v>81730.69</v>
      </c>
    </row>
    <row r="85" spans="1:10">
      <c r="A85" t="s">
        <v>85</v>
      </c>
      <c r="B85" s="3">
        <v>33479.26</v>
      </c>
      <c r="C85" s="3"/>
      <c r="E85" t="s">
        <v>85</v>
      </c>
      <c r="F85">
        <v>17851.87</v>
      </c>
      <c r="I85" t="s">
        <v>85</v>
      </c>
      <c r="J85">
        <v>17893.22</v>
      </c>
    </row>
    <row r="86" spans="1:10">
      <c r="A86" t="s">
        <v>86</v>
      </c>
      <c r="B86">
        <v>19343.87</v>
      </c>
      <c r="E86" t="s">
        <v>86</v>
      </c>
      <c r="F86">
        <v>0</v>
      </c>
      <c r="I86" t="s">
        <v>86</v>
      </c>
      <c r="J86">
        <v>0</v>
      </c>
    </row>
    <row r="87" spans="1:10">
      <c r="A87" t="s">
        <v>87</v>
      </c>
      <c r="B87">
        <v>13134.31</v>
      </c>
      <c r="E87" t="s">
        <v>87</v>
      </c>
      <c r="F87">
        <v>16692.6</v>
      </c>
      <c r="I87" t="s">
        <v>87</v>
      </c>
      <c r="J87">
        <v>10871.3</v>
      </c>
    </row>
    <row r="88" spans="1:10">
      <c r="A88" t="s">
        <v>88</v>
      </c>
      <c r="B88">
        <v>0</v>
      </c>
      <c r="E88" t="s">
        <v>88</v>
      </c>
      <c r="F88">
        <v>0</v>
      </c>
      <c r="I88" t="s">
        <v>88</v>
      </c>
      <c r="J88">
        <v>0</v>
      </c>
    </row>
    <row r="89" spans="1:10">
      <c r="A89" t="s">
        <v>89</v>
      </c>
      <c r="B89">
        <v>126066.1</v>
      </c>
      <c r="E89" t="s">
        <v>89</v>
      </c>
      <c r="F89">
        <v>127142.93</v>
      </c>
      <c r="I89" t="s">
        <v>89</v>
      </c>
      <c r="J89">
        <v>133121.86</v>
      </c>
    </row>
    <row r="90" spans="1:10">
      <c r="A90" t="s">
        <v>90</v>
      </c>
      <c r="B90">
        <v>0</v>
      </c>
      <c r="E90" t="s">
        <v>90</v>
      </c>
      <c r="F90">
        <v>0</v>
      </c>
      <c r="I90" t="s">
        <v>90</v>
      </c>
      <c r="J90">
        <v>0</v>
      </c>
    </row>
    <row r="91" spans="1:10">
      <c r="A91" t="s">
        <v>91</v>
      </c>
      <c r="B91">
        <v>676245.75</v>
      </c>
      <c r="E91" t="s">
        <v>91</v>
      </c>
      <c r="F91">
        <v>693316.5</v>
      </c>
      <c r="I91" t="s">
        <v>91</v>
      </c>
      <c r="J91">
        <v>730350.05</v>
      </c>
    </row>
    <row r="92" spans="1:10">
      <c r="A92" t="s">
        <v>92</v>
      </c>
      <c r="B92">
        <v>923080.69</v>
      </c>
      <c r="E92" t="s">
        <v>92</v>
      </c>
      <c r="F92">
        <v>943872.84</v>
      </c>
      <c r="I92" t="s">
        <v>92</v>
      </c>
      <c r="J92">
        <v>981105.42</v>
      </c>
    </row>
    <row r="93" spans="1:10">
      <c r="A93" t="s">
        <v>93</v>
      </c>
      <c r="B93">
        <v>38666.11</v>
      </c>
      <c r="E93" t="s">
        <v>93</v>
      </c>
      <c r="F93">
        <v>38283.95</v>
      </c>
      <c r="I93" t="s">
        <v>93</v>
      </c>
      <c r="J93">
        <v>31904.14</v>
      </c>
    </row>
    <row r="94" spans="1:10">
      <c r="A94" t="s">
        <v>94</v>
      </c>
      <c r="B94">
        <v>961746.8</v>
      </c>
      <c r="E94" t="s">
        <v>94</v>
      </c>
      <c r="F94">
        <v>982156.78</v>
      </c>
      <c r="I94" t="s">
        <v>94</v>
      </c>
      <c r="J94">
        <v>1013009.56</v>
      </c>
    </row>
    <row r="95" spans="1:10">
      <c r="A95" t="s">
        <v>95</v>
      </c>
      <c r="B95">
        <v>1343028.62</v>
      </c>
      <c r="E95" t="s">
        <v>95</v>
      </c>
      <c r="F95">
        <v>1392971.56</v>
      </c>
      <c r="I95" t="s">
        <v>95</v>
      </c>
      <c r="J95">
        <v>1410676.29</v>
      </c>
    </row>
  </sheetData>
  <pageMargins left="0.75" right="0.75" top="0.75" bottom="0.5" header="0.5" footer="0.7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A1" sqref="A$1:I$1048576"/>
    </sheetView>
  </sheetViews>
  <sheetFormatPr defaultColWidth="9" defaultRowHeight="15"/>
  <cols>
    <col min="1" max="9" width="19.4285714285714" customWidth="1"/>
  </cols>
  <sheetData>
    <row r="1" spans="1:10">
      <c r="A1" t="s">
        <v>0</v>
      </c>
      <c r="B1" t="s">
        <v>1</v>
      </c>
      <c r="E1" t="s">
        <v>0</v>
      </c>
      <c r="F1" t="s">
        <v>1</v>
      </c>
      <c r="I1" t="s">
        <v>0</v>
      </c>
      <c r="J1" t="s">
        <v>1</v>
      </c>
    </row>
    <row r="2" spans="1:10">
      <c r="A2" t="s">
        <v>2</v>
      </c>
      <c r="B2" s="2">
        <v>45291</v>
      </c>
      <c r="E2" s="2" t="s">
        <v>2</v>
      </c>
      <c r="F2" s="2">
        <v>45657</v>
      </c>
      <c r="H2" s="2"/>
      <c r="I2" t="s">
        <v>2</v>
      </c>
      <c r="J2" s="2">
        <v>46022</v>
      </c>
    </row>
    <row r="3" spans="1:10">
      <c r="A3" t="s">
        <v>96</v>
      </c>
      <c r="B3">
        <v>596147.73</v>
      </c>
      <c r="E3" t="s">
        <v>96</v>
      </c>
      <c r="F3">
        <v>609061.5</v>
      </c>
      <c r="I3" t="s">
        <v>96</v>
      </c>
      <c r="J3">
        <v>590430.87</v>
      </c>
    </row>
    <row r="4" spans="1:10">
      <c r="A4" t="s">
        <v>97</v>
      </c>
      <c r="B4" s="3">
        <v>596147.73</v>
      </c>
      <c r="C4" s="3"/>
      <c r="E4" t="s">
        <v>97</v>
      </c>
      <c r="F4" s="3">
        <v>609061.5</v>
      </c>
      <c r="G4" s="3"/>
      <c r="I4" t="s">
        <v>97</v>
      </c>
      <c r="J4">
        <v>590430.87</v>
      </c>
    </row>
    <row r="5" spans="1:10">
      <c r="A5" t="s">
        <v>98</v>
      </c>
      <c r="B5" s="3">
        <v>543065.54</v>
      </c>
      <c r="C5" s="3"/>
      <c r="E5" t="s">
        <v>98</v>
      </c>
      <c r="F5" s="3">
        <v>540443.15</v>
      </c>
      <c r="G5" s="3"/>
      <c r="I5" t="s">
        <v>98</v>
      </c>
      <c r="J5">
        <v>534297.19</v>
      </c>
    </row>
    <row r="6" spans="1:10">
      <c r="A6" t="s">
        <v>99</v>
      </c>
      <c r="B6" s="3">
        <v>459138.89</v>
      </c>
      <c r="C6" s="3"/>
      <c r="E6" t="s">
        <v>99</v>
      </c>
      <c r="F6" s="3">
        <v>464357.89</v>
      </c>
      <c r="G6" s="3"/>
      <c r="I6" t="s">
        <v>99</v>
      </c>
      <c r="J6">
        <v>454612.42</v>
      </c>
    </row>
    <row r="7" spans="1:10">
      <c r="A7" t="s">
        <v>100</v>
      </c>
      <c r="B7" s="3">
        <v>6326</v>
      </c>
      <c r="C7" s="3"/>
      <c r="E7" t="s">
        <v>100</v>
      </c>
      <c r="F7" s="3">
        <v>6245.04</v>
      </c>
      <c r="G7" s="3"/>
      <c r="I7" t="s">
        <v>100</v>
      </c>
      <c r="J7">
        <v>6169.31</v>
      </c>
    </row>
    <row r="8" spans="1:10">
      <c r="A8" t="s">
        <v>101</v>
      </c>
      <c r="B8" s="3">
        <v>14845.48</v>
      </c>
      <c r="C8" s="3"/>
      <c r="E8" t="s">
        <v>101</v>
      </c>
      <c r="F8" s="3">
        <v>15100.44</v>
      </c>
      <c r="G8" s="3"/>
      <c r="I8" t="s">
        <v>101</v>
      </c>
      <c r="J8">
        <v>14794.95</v>
      </c>
    </row>
    <row r="9" spans="1:10">
      <c r="A9" t="s">
        <v>102</v>
      </c>
      <c r="B9" s="3">
        <v>38232.75</v>
      </c>
      <c r="C9" s="3"/>
      <c r="E9" t="s">
        <v>102</v>
      </c>
      <c r="F9">
        <v>34432.7</v>
      </c>
      <c r="I9" t="s">
        <v>102</v>
      </c>
      <c r="J9">
        <v>33749.87</v>
      </c>
    </row>
    <row r="10" spans="1:10">
      <c r="A10" t="s">
        <v>103</v>
      </c>
      <c r="B10" s="3">
        <v>544.88</v>
      </c>
      <c r="C10" s="3"/>
      <c r="E10" t="s">
        <v>103</v>
      </c>
      <c r="F10" s="3">
        <v>-375.02</v>
      </c>
      <c r="G10" s="3"/>
      <c r="I10" t="s">
        <v>103</v>
      </c>
      <c r="J10">
        <v>5747.35</v>
      </c>
    </row>
    <row r="11" spans="1:10">
      <c r="A11" t="s">
        <v>104</v>
      </c>
      <c r="B11">
        <v>23977.53</v>
      </c>
      <c r="E11" t="s">
        <v>104</v>
      </c>
      <c r="F11" s="3">
        <v>20682.09</v>
      </c>
      <c r="G11" s="3"/>
      <c r="I11" t="s">
        <v>104</v>
      </c>
      <c r="J11">
        <v>19223.28</v>
      </c>
    </row>
    <row r="12" spans="1:10">
      <c r="A12" t="s">
        <v>105</v>
      </c>
      <c r="B12" s="3">
        <v>0</v>
      </c>
      <c r="C12" s="3"/>
      <c r="E12" t="s">
        <v>105</v>
      </c>
      <c r="F12" s="3">
        <v>0</v>
      </c>
      <c r="G12" s="3"/>
      <c r="I12" t="s">
        <v>105</v>
      </c>
      <c r="J12">
        <v>0</v>
      </c>
    </row>
    <row r="13" spans="1:10">
      <c r="A13" t="s">
        <v>106</v>
      </c>
      <c r="B13" s="3">
        <v>-6502.07</v>
      </c>
      <c r="C13" s="3"/>
      <c r="E13" t="s">
        <v>106</v>
      </c>
      <c r="F13" s="3">
        <v>-9082.68</v>
      </c>
      <c r="G13" s="3"/>
      <c r="I13" t="s">
        <v>106</v>
      </c>
      <c r="J13">
        <v>-5580.52</v>
      </c>
    </row>
    <row r="14" spans="1:10">
      <c r="A14" t="s">
        <v>107</v>
      </c>
      <c r="B14" s="3">
        <v>3936.46</v>
      </c>
      <c r="E14" t="s">
        <v>107</v>
      </c>
      <c r="F14" s="3">
        <v>-4650.63</v>
      </c>
      <c r="G14" s="3"/>
      <c r="I14" t="s">
        <v>107</v>
      </c>
      <c r="J14">
        <v>26259.67</v>
      </c>
    </row>
    <row r="15" spans="1:10">
      <c r="A15" t="s">
        <v>108</v>
      </c>
      <c r="B15" s="3">
        <v>-955.62</v>
      </c>
      <c r="E15" t="s">
        <v>108</v>
      </c>
      <c r="F15" s="3">
        <v>-2345.32</v>
      </c>
      <c r="G15" s="3"/>
      <c r="I15" t="s">
        <v>108</v>
      </c>
      <c r="J15">
        <v>-633.97</v>
      </c>
    </row>
    <row r="16" spans="1:10">
      <c r="A16" t="s">
        <v>109</v>
      </c>
      <c r="B16">
        <v>0</v>
      </c>
      <c r="C16" s="3"/>
      <c r="E16" t="s">
        <v>109</v>
      </c>
      <c r="F16" s="3">
        <v>0</v>
      </c>
      <c r="G16" s="3"/>
      <c r="I16" t="s">
        <v>109</v>
      </c>
      <c r="J16">
        <v>0</v>
      </c>
    </row>
    <row r="17" spans="1:10">
      <c r="A17" t="s">
        <v>110</v>
      </c>
      <c r="B17" s="3">
        <v>43299.24</v>
      </c>
      <c r="C17" s="3"/>
      <c r="E17" t="s">
        <v>110</v>
      </c>
      <c r="F17">
        <v>46677.01</v>
      </c>
      <c r="I17" t="s">
        <v>110</v>
      </c>
      <c r="J17">
        <v>67932.47</v>
      </c>
    </row>
    <row r="18" spans="1:10">
      <c r="A18" t="s">
        <v>111</v>
      </c>
      <c r="B18" s="3">
        <v>934.77</v>
      </c>
      <c r="C18" s="3"/>
      <c r="E18" t="s">
        <v>111</v>
      </c>
      <c r="F18" s="3">
        <v>957.49</v>
      </c>
      <c r="G18" s="3"/>
      <c r="I18" t="s">
        <v>111</v>
      </c>
      <c r="J18">
        <v>1869.45</v>
      </c>
    </row>
    <row r="19" spans="1:10">
      <c r="A19" t="s">
        <v>112</v>
      </c>
      <c r="B19" s="3">
        <v>514.67</v>
      </c>
      <c r="C19" s="3"/>
      <c r="E19" t="s">
        <v>112</v>
      </c>
      <c r="F19" s="3">
        <v>853.41</v>
      </c>
      <c r="G19" s="3"/>
      <c r="I19" t="s">
        <v>112</v>
      </c>
      <c r="J19">
        <v>487.89</v>
      </c>
    </row>
    <row r="20" spans="1:10">
      <c r="A20" t="s">
        <v>113</v>
      </c>
      <c r="B20" s="3">
        <v>0</v>
      </c>
      <c r="C20" s="3"/>
      <c r="E20" t="s">
        <v>113</v>
      </c>
      <c r="F20" s="3">
        <v>0</v>
      </c>
      <c r="G20" s="3"/>
      <c r="I20" t="s">
        <v>113</v>
      </c>
      <c r="J20">
        <v>0</v>
      </c>
    </row>
    <row r="21" spans="1:10">
      <c r="A21" t="s">
        <v>114</v>
      </c>
      <c r="B21" s="3">
        <v>43719.34</v>
      </c>
      <c r="C21" s="3"/>
      <c r="E21" t="s">
        <v>114</v>
      </c>
      <c r="F21" s="3">
        <v>46781.09</v>
      </c>
      <c r="G21" s="3"/>
      <c r="I21" t="s">
        <v>114</v>
      </c>
      <c r="J21">
        <v>69314.03</v>
      </c>
    </row>
    <row r="22" spans="1:10">
      <c r="A22" t="s">
        <v>115</v>
      </c>
      <c r="B22" s="3">
        <v>4084.1</v>
      </c>
      <c r="E22" t="s">
        <v>115</v>
      </c>
      <c r="F22" s="3">
        <v>4154.92</v>
      </c>
      <c r="G22" s="3"/>
      <c r="I22" t="s">
        <v>115</v>
      </c>
      <c r="J22">
        <v>8834.8</v>
      </c>
    </row>
    <row r="23" spans="1:10">
      <c r="A23" t="s">
        <v>116</v>
      </c>
      <c r="B23">
        <v>39635.24</v>
      </c>
      <c r="E23" t="s">
        <v>116</v>
      </c>
      <c r="F23" s="3">
        <v>42626.17</v>
      </c>
      <c r="G23" s="3"/>
      <c r="I23" t="s">
        <v>116</v>
      </c>
      <c r="J23">
        <v>60479.22</v>
      </c>
    </row>
    <row r="24" spans="1:10">
      <c r="A24" t="s">
        <v>117</v>
      </c>
      <c r="B24">
        <v>40344.43</v>
      </c>
      <c r="E24" t="s">
        <v>117</v>
      </c>
      <c r="F24" s="3">
        <v>41032.14</v>
      </c>
      <c r="G24" s="3"/>
      <c r="I24" t="s">
        <v>117</v>
      </c>
      <c r="J24">
        <v>59358.61</v>
      </c>
    </row>
    <row r="25" spans="1:10">
      <c r="A25" t="s">
        <v>118</v>
      </c>
      <c r="B25">
        <v>-709.18</v>
      </c>
      <c r="E25" t="s">
        <v>118</v>
      </c>
      <c r="F25" s="3">
        <v>1594.03</v>
      </c>
      <c r="G25" s="3"/>
      <c r="I25" t="s">
        <v>118</v>
      </c>
      <c r="J25">
        <v>1120.62</v>
      </c>
    </row>
    <row r="26" spans="1:10">
      <c r="A26" t="s">
        <v>119</v>
      </c>
      <c r="B26" t="s">
        <v>120</v>
      </c>
      <c r="E26" t="s">
        <v>119</v>
      </c>
      <c r="F26" t="s">
        <v>120</v>
      </c>
      <c r="I26" t="s">
        <v>119</v>
      </c>
      <c r="J26" t="s">
        <v>120</v>
      </c>
    </row>
    <row r="27" spans="1:10">
      <c r="A27" t="s">
        <v>121</v>
      </c>
      <c r="B27">
        <v>0.47</v>
      </c>
      <c r="E27" t="s">
        <v>121</v>
      </c>
      <c r="F27">
        <v>0.5</v>
      </c>
      <c r="I27" t="s">
        <v>121</v>
      </c>
      <c r="J27">
        <v>0.73</v>
      </c>
    </row>
    <row r="28" spans="1:10">
      <c r="A28" t="s">
        <v>122</v>
      </c>
      <c r="B28">
        <v>0.42</v>
      </c>
      <c r="E28" t="s">
        <v>122</v>
      </c>
      <c r="F28">
        <v>0.47</v>
      </c>
      <c r="I28" t="s">
        <v>122</v>
      </c>
      <c r="J28">
        <v>0.66</v>
      </c>
    </row>
    <row r="29" spans="1:10">
      <c r="A29" t="s">
        <v>123</v>
      </c>
      <c r="B29">
        <v>2371.78</v>
      </c>
      <c r="E29" t="s">
        <v>123</v>
      </c>
      <c r="F29">
        <v>3558.98</v>
      </c>
      <c r="I29" t="s">
        <v>123</v>
      </c>
      <c r="J29">
        <v>-5821.72</v>
      </c>
    </row>
    <row r="30" spans="1:10">
      <c r="A30" t="s">
        <v>124</v>
      </c>
      <c r="B30">
        <v>42007.02</v>
      </c>
      <c r="E30" t="s">
        <v>124</v>
      </c>
      <c r="F30">
        <v>46185.15</v>
      </c>
      <c r="I30" t="s">
        <v>124</v>
      </c>
      <c r="J30">
        <v>54657.5</v>
      </c>
    </row>
    <row r="31" spans="1:10">
      <c r="A31" t="s">
        <v>125</v>
      </c>
      <c r="B31">
        <v>42715.85</v>
      </c>
      <c r="E31" t="s">
        <v>125</v>
      </c>
      <c r="F31">
        <v>44590.42</v>
      </c>
      <c r="I31" t="s">
        <v>125</v>
      </c>
      <c r="J31">
        <v>53537.31</v>
      </c>
    </row>
    <row r="32" spans="1:10">
      <c r="A32" t="s">
        <v>126</v>
      </c>
      <c r="B32">
        <v>-708.83</v>
      </c>
      <c r="E32" t="s">
        <v>126</v>
      </c>
      <c r="F32">
        <v>1594.73</v>
      </c>
      <c r="I32" t="s">
        <v>126</v>
      </c>
      <c r="J32">
        <v>1120.2</v>
      </c>
    </row>
    <row r="34" spans="2:7">
      <c r="B34" s="3"/>
      <c r="C34" s="3"/>
    </row>
    <row r="38" spans="2:7">
      <c r="F38" s="3"/>
      <c r="G38" s="3"/>
    </row>
  </sheetData>
  <pageMargins left="0.75" right="0.75" top="0.75" bottom="0.5" header="0.5" footer="0.7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workbookViewId="0">
      <selection activeCell="B23" sqref="B23"/>
    </sheetView>
  </sheetViews>
  <sheetFormatPr defaultColWidth="9" defaultRowHeight="15"/>
  <cols>
    <col min="1" max="10" width="23.5714285714286" customWidth="1"/>
  </cols>
  <sheetData>
    <row r="1" spans="1:10">
      <c r="A1" t="s">
        <v>0</v>
      </c>
      <c r="B1" t="s">
        <v>1</v>
      </c>
      <c r="E1" t="s">
        <v>0</v>
      </c>
      <c r="F1" t="s">
        <v>1</v>
      </c>
      <c r="I1" t="s">
        <v>0</v>
      </c>
      <c r="J1" t="s">
        <v>1</v>
      </c>
    </row>
    <row r="2" spans="1:10">
      <c r="A2" t="s">
        <v>2</v>
      </c>
      <c r="B2" s="2">
        <v>45291</v>
      </c>
      <c r="E2" s="2" t="s">
        <v>2</v>
      </c>
      <c r="F2" s="2">
        <v>45657</v>
      </c>
      <c r="H2" s="2"/>
      <c r="I2" t="s">
        <v>2</v>
      </c>
      <c r="J2" s="2">
        <v>46022</v>
      </c>
    </row>
    <row r="3" spans="1:10">
      <c r="A3" t="s">
        <v>127</v>
      </c>
      <c r="B3" t="s">
        <v>127</v>
      </c>
      <c r="E3" t="s">
        <v>127</v>
      </c>
      <c r="F3" t="s">
        <v>127</v>
      </c>
      <c r="I3" t="s">
        <v>127</v>
      </c>
      <c r="J3" t="s">
        <v>127</v>
      </c>
    </row>
    <row r="4" spans="1:10">
      <c r="A4" t="s">
        <v>128</v>
      </c>
      <c r="B4">
        <v>549242.43</v>
      </c>
      <c r="E4" t="s">
        <v>128</v>
      </c>
      <c r="F4">
        <v>600466.64</v>
      </c>
      <c r="I4" t="s">
        <v>128</v>
      </c>
      <c r="J4">
        <v>569701.8</v>
      </c>
    </row>
    <row r="5" spans="1:10">
      <c r="A5" t="s">
        <v>129</v>
      </c>
      <c r="B5" s="3">
        <v>12549.67</v>
      </c>
      <c r="C5" s="3"/>
      <c r="E5" t="s">
        <v>129</v>
      </c>
      <c r="F5" s="3">
        <v>7107.93</v>
      </c>
      <c r="G5" s="3"/>
      <c r="I5" t="s">
        <v>129</v>
      </c>
      <c r="J5">
        <v>6269.28</v>
      </c>
    </row>
    <row r="6" spans="1:10">
      <c r="A6" t="s">
        <v>130</v>
      </c>
      <c r="B6">
        <v>11536.65</v>
      </c>
      <c r="E6" t="s">
        <v>130</v>
      </c>
      <c r="F6">
        <v>4453.66</v>
      </c>
      <c r="I6" t="s">
        <v>130</v>
      </c>
      <c r="J6">
        <v>5558.24</v>
      </c>
    </row>
    <row r="7" spans="1:10">
      <c r="A7" t="s">
        <v>131</v>
      </c>
      <c r="B7" s="3">
        <v>573328.75</v>
      </c>
      <c r="C7" s="3"/>
      <c r="E7" t="s">
        <v>131</v>
      </c>
      <c r="F7" s="3">
        <v>612028.23</v>
      </c>
      <c r="G7" s="3"/>
      <c r="I7" t="s">
        <v>131</v>
      </c>
      <c r="J7">
        <v>581529.32</v>
      </c>
    </row>
    <row r="8" spans="1:10">
      <c r="A8" t="s">
        <v>132</v>
      </c>
      <c r="B8" s="3">
        <v>300827.48</v>
      </c>
      <c r="C8" s="3"/>
      <c r="E8" t="s">
        <v>132</v>
      </c>
      <c r="F8" s="3">
        <v>304082.59</v>
      </c>
      <c r="G8" s="3"/>
      <c r="I8" t="s">
        <v>132</v>
      </c>
      <c r="J8">
        <v>314725.97</v>
      </c>
    </row>
    <row r="9" spans="1:10">
      <c r="A9" t="s">
        <v>133</v>
      </c>
      <c r="B9" s="3">
        <v>156565.39</v>
      </c>
      <c r="C9" s="3"/>
      <c r="E9" t="s">
        <v>133</v>
      </c>
      <c r="F9" s="3">
        <v>155161.85</v>
      </c>
      <c r="G9" s="3"/>
      <c r="I9" t="s">
        <v>133</v>
      </c>
      <c r="J9">
        <v>156270.16</v>
      </c>
    </row>
    <row r="10" spans="1:10">
      <c r="A10" t="s">
        <v>134</v>
      </c>
      <c r="B10" s="3">
        <v>14623.08</v>
      </c>
      <c r="C10" s="3"/>
      <c r="E10" t="s">
        <v>134</v>
      </c>
      <c r="F10" s="3">
        <v>13155.15</v>
      </c>
      <c r="G10" s="3"/>
      <c r="I10" t="s">
        <v>134</v>
      </c>
      <c r="J10">
        <v>20646.68</v>
      </c>
    </row>
    <row r="11" spans="1:10">
      <c r="A11" t="s">
        <v>135</v>
      </c>
      <c r="B11" s="3">
        <v>15826.35</v>
      </c>
      <c r="C11" s="3"/>
      <c r="E11" t="s">
        <v>135</v>
      </c>
      <c r="F11" s="3">
        <v>15207.44</v>
      </c>
      <c r="G11" s="3"/>
      <c r="I11" t="s">
        <v>135</v>
      </c>
      <c r="J11">
        <v>18636.77</v>
      </c>
    </row>
    <row r="12" spans="1:10">
      <c r="A12" t="s">
        <v>136</v>
      </c>
      <c r="B12" s="3">
        <v>487842.3</v>
      </c>
      <c r="C12" s="3"/>
      <c r="E12" t="s">
        <v>136</v>
      </c>
      <c r="F12" s="3">
        <v>487607.02</v>
      </c>
      <c r="G12" s="3"/>
      <c r="I12" t="s">
        <v>136</v>
      </c>
      <c r="J12">
        <v>510279.58</v>
      </c>
    </row>
    <row r="13" spans="1:10">
      <c r="A13" t="s">
        <v>137</v>
      </c>
      <c r="B13" s="3">
        <v>85486.45</v>
      </c>
      <c r="C13" s="3"/>
      <c r="E13" t="s">
        <v>137</v>
      </c>
      <c r="F13" s="3">
        <v>124421.22</v>
      </c>
      <c r="G13" s="3"/>
      <c r="I13" t="s">
        <v>137</v>
      </c>
      <c r="J13">
        <v>71249.74</v>
      </c>
    </row>
    <row r="14" spans="1:10">
      <c r="A14" t="s">
        <v>138</v>
      </c>
      <c r="B14" s="3" t="s">
        <v>138</v>
      </c>
      <c r="C14" s="3"/>
      <c r="E14" t="s">
        <v>138</v>
      </c>
      <c r="F14" s="3" t="s">
        <v>138</v>
      </c>
      <c r="G14" s="3"/>
      <c r="I14" t="s">
        <v>138</v>
      </c>
      <c r="J14" t="s">
        <v>138</v>
      </c>
    </row>
    <row r="15" spans="1:10">
      <c r="A15" t="s">
        <v>139</v>
      </c>
      <c r="B15">
        <v>946514.19</v>
      </c>
      <c r="E15" t="s">
        <v>139</v>
      </c>
      <c r="F15">
        <v>102026.1</v>
      </c>
      <c r="I15" t="s">
        <v>139</v>
      </c>
      <c r="J15">
        <v>1044580.05</v>
      </c>
    </row>
    <row r="16" spans="1:10">
      <c r="A16" t="s">
        <v>140</v>
      </c>
      <c r="B16">
        <v>5780.57</v>
      </c>
      <c r="E16" t="s">
        <v>140</v>
      </c>
      <c r="F16">
        <v>726.1</v>
      </c>
      <c r="I16" t="s">
        <v>140</v>
      </c>
      <c r="J16">
        <v>26055.44</v>
      </c>
    </row>
    <row r="17" spans="1:10">
      <c r="A17" t="s">
        <v>141</v>
      </c>
      <c r="B17" s="3">
        <v>639.14</v>
      </c>
      <c r="E17" t="s">
        <v>141</v>
      </c>
      <c r="F17">
        <v>111.84</v>
      </c>
      <c r="G17" s="3"/>
      <c r="I17" t="s">
        <v>141</v>
      </c>
      <c r="J17">
        <v>933.46</v>
      </c>
    </row>
    <row r="18" spans="1:10">
      <c r="A18" t="s">
        <v>142</v>
      </c>
      <c r="B18" s="3">
        <v>0</v>
      </c>
      <c r="C18" s="3"/>
      <c r="E18" t="s">
        <v>142</v>
      </c>
      <c r="F18" s="3">
        <v>0</v>
      </c>
      <c r="G18" s="3"/>
      <c r="I18" t="s">
        <v>142</v>
      </c>
      <c r="J18">
        <v>0</v>
      </c>
    </row>
    <row r="19" spans="1:10">
      <c r="A19" t="s">
        <v>143</v>
      </c>
      <c r="B19">
        <v>15333.28</v>
      </c>
      <c r="E19" t="s">
        <v>143</v>
      </c>
      <c r="F19">
        <v>71964.89</v>
      </c>
      <c r="I19" t="s">
        <v>143</v>
      </c>
      <c r="J19">
        <v>89541.88</v>
      </c>
    </row>
    <row r="20" spans="1:10">
      <c r="A20" t="s">
        <v>144</v>
      </c>
      <c r="B20" s="3">
        <v>968267.18</v>
      </c>
      <c r="E20" t="s">
        <v>144</v>
      </c>
      <c r="F20">
        <v>174828.93</v>
      </c>
      <c r="I20" t="s">
        <v>144</v>
      </c>
      <c r="J20">
        <v>1161110.83</v>
      </c>
    </row>
    <row r="21" spans="1:10">
      <c r="A21" t="s">
        <v>145</v>
      </c>
      <c r="B21" s="3">
        <v>84676.88</v>
      </c>
      <c r="C21" s="3"/>
      <c r="E21" t="s">
        <v>145</v>
      </c>
      <c r="F21" s="3">
        <v>21746.16</v>
      </c>
      <c r="G21" s="3"/>
      <c r="I21" t="s">
        <v>145</v>
      </c>
      <c r="J21">
        <v>18905.31</v>
      </c>
    </row>
    <row r="22" spans="1:10">
      <c r="A22" t="s">
        <v>146</v>
      </c>
      <c r="B22" s="3">
        <v>966406.87</v>
      </c>
      <c r="C22" s="3"/>
      <c r="E22" t="s">
        <v>146</v>
      </c>
      <c r="F22" s="3">
        <v>122522.72</v>
      </c>
      <c r="G22" s="3"/>
      <c r="I22" t="s">
        <v>146</v>
      </c>
      <c r="J22">
        <v>1075551.71</v>
      </c>
    </row>
    <row r="23" spans="1:10">
      <c r="A23" t="s">
        <v>147</v>
      </c>
      <c r="B23">
        <v>0</v>
      </c>
      <c r="C23" s="3"/>
      <c r="E23" t="s">
        <v>147</v>
      </c>
      <c r="F23" s="3">
        <v>0</v>
      </c>
      <c r="I23" t="s">
        <v>147</v>
      </c>
      <c r="J23">
        <v>0</v>
      </c>
    </row>
    <row r="24" spans="1:10">
      <c r="A24" t="s">
        <v>148</v>
      </c>
      <c r="B24">
        <v>12507.39</v>
      </c>
      <c r="E24" t="s">
        <v>148</v>
      </c>
      <c r="F24">
        <v>153771.7</v>
      </c>
      <c r="I24" t="s">
        <v>148</v>
      </c>
      <c r="J24">
        <v>37986.52</v>
      </c>
    </row>
    <row r="25" spans="1:10">
      <c r="A25" t="s">
        <v>149</v>
      </c>
      <c r="B25">
        <v>1063591.14</v>
      </c>
      <c r="E25" t="s">
        <v>149</v>
      </c>
      <c r="F25">
        <v>298040.58</v>
      </c>
      <c r="I25" t="s">
        <v>149</v>
      </c>
      <c r="J25">
        <v>1132443.54</v>
      </c>
    </row>
    <row r="26" spans="1:10">
      <c r="A26" t="s">
        <v>150</v>
      </c>
      <c r="B26" s="3">
        <v>-95323.95</v>
      </c>
      <c r="C26" s="3"/>
      <c r="E26" t="s">
        <v>150</v>
      </c>
      <c r="F26" s="3">
        <v>-123211.65</v>
      </c>
      <c r="G26" s="3"/>
      <c r="I26" t="s">
        <v>150</v>
      </c>
      <c r="J26">
        <v>28667.29</v>
      </c>
    </row>
    <row r="27" spans="1:10">
      <c r="A27" t="s">
        <v>151</v>
      </c>
      <c r="B27" s="3" t="s">
        <v>151</v>
      </c>
      <c r="C27" s="3"/>
      <c r="E27" t="s">
        <v>151</v>
      </c>
      <c r="F27" s="3" t="s">
        <v>151</v>
      </c>
      <c r="G27" s="3"/>
      <c r="I27" t="s">
        <v>151</v>
      </c>
      <c r="J27" t="s">
        <v>151</v>
      </c>
    </row>
    <row r="28" spans="1:10">
      <c r="A28" t="s">
        <v>152</v>
      </c>
      <c r="B28">
        <v>0</v>
      </c>
      <c r="E28" t="s">
        <v>152</v>
      </c>
      <c r="F28">
        <v>0</v>
      </c>
      <c r="I28" t="s">
        <v>152</v>
      </c>
      <c r="J28">
        <v>0</v>
      </c>
    </row>
    <row r="29" spans="1:10">
      <c r="A29" t="s">
        <v>153</v>
      </c>
      <c r="B29">
        <v>0</v>
      </c>
      <c r="E29" t="s">
        <v>153</v>
      </c>
      <c r="F29">
        <v>0</v>
      </c>
      <c r="I29" t="s">
        <v>153</v>
      </c>
      <c r="J29">
        <v>0</v>
      </c>
    </row>
    <row r="30" spans="1:10">
      <c r="A30" t="s">
        <v>154</v>
      </c>
      <c r="B30" s="3">
        <v>128962.52</v>
      </c>
      <c r="C30" s="3"/>
      <c r="E30" t="s">
        <v>154</v>
      </c>
      <c r="F30" s="3">
        <v>214698.66</v>
      </c>
      <c r="G30" s="3"/>
      <c r="I30" t="s">
        <v>154</v>
      </c>
      <c r="J30">
        <v>160245.26</v>
      </c>
    </row>
    <row r="31" spans="1:10">
      <c r="A31" t="s">
        <v>155</v>
      </c>
      <c r="B31">
        <v>0</v>
      </c>
      <c r="E31" t="s">
        <v>155</v>
      </c>
      <c r="F31">
        <v>0</v>
      </c>
      <c r="I31" t="s">
        <v>155</v>
      </c>
      <c r="J31">
        <v>0</v>
      </c>
    </row>
    <row r="32" spans="1:10">
      <c r="A32" t="s">
        <v>156</v>
      </c>
      <c r="B32">
        <v>9.88</v>
      </c>
      <c r="E32" t="s">
        <v>156</v>
      </c>
      <c r="F32">
        <v>0</v>
      </c>
      <c r="I32" t="s">
        <v>156</v>
      </c>
      <c r="J32">
        <v>0</v>
      </c>
    </row>
    <row r="33" spans="1:10">
      <c r="A33" t="s">
        <v>157</v>
      </c>
      <c r="B33" s="3">
        <v>128972.4</v>
      </c>
      <c r="C33" s="3"/>
      <c r="E33" t="s">
        <v>157</v>
      </c>
      <c r="F33" s="3">
        <v>214698.66</v>
      </c>
      <c r="G33" s="3"/>
      <c r="I33" t="s">
        <v>157</v>
      </c>
      <c r="J33">
        <v>160245.26</v>
      </c>
    </row>
    <row r="34" spans="1:10">
      <c r="A34" t="s">
        <v>158</v>
      </c>
      <c r="B34" s="3">
        <v>134590.22</v>
      </c>
      <c r="C34" s="3"/>
      <c r="E34" t="s">
        <v>158</v>
      </c>
      <c r="F34" s="3">
        <v>182288.56</v>
      </c>
      <c r="G34" s="3"/>
      <c r="I34" t="s">
        <v>158</v>
      </c>
      <c r="J34">
        <v>162750.75</v>
      </c>
    </row>
    <row r="35" spans="1:10">
      <c r="A35" t="s">
        <v>159</v>
      </c>
      <c r="B35" s="3">
        <v>14033.74</v>
      </c>
      <c r="C35" s="3"/>
      <c r="E35" t="s">
        <v>159</v>
      </c>
      <c r="F35" s="3">
        <v>29329.76</v>
      </c>
      <c r="G35" s="3"/>
      <c r="I35" t="s">
        <v>159</v>
      </c>
      <c r="J35">
        <v>30055.87</v>
      </c>
    </row>
    <row r="36" spans="1:10">
      <c r="A36" t="s">
        <v>160</v>
      </c>
      <c r="B36">
        <v>0</v>
      </c>
      <c r="C36" s="3"/>
      <c r="E36" t="s">
        <v>160</v>
      </c>
      <c r="F36">
        <v>0</v>
      </c>
      <c r="I36" t="s">
        <v>160</v>
      </c>
      <c r="J36">
        <v>7500</v>
      </c>
    </row>
    <row r="37" spans="1:10">
      <c r="A37" t="s">
        <v>161</v>
      </c>
      <c r="B37" s="3">
        <v>19114.43</v>
      </c>
      <c r="C37" s="3"/>
      <c r="E37" t="s">
        <v>161</v>
      </c>
      <c r="F37" s="3">
        <v>5879.01</v>
      </c>
      <c r="G37" s="3"/>
      <c r="I37" t="s">
        <v>161</v>
      </c>
      <c r="J37">
        <v>1874.45</v>
      </c>
    </row>
    <row r="38" spans="1:10">
      <c r="A38" t="s">
        <v>162</v>
      </c>
      <c r="B38" s="3">
        <v>167738.4</v>
      </c>
      <c r="C38" s="3"/>
      <c r="E38" t="s">
        <v>162</v>
      </c>
      <c r="F38" s="3">
        <v>217497.33</v>
      </c>
      <c r="G38" s="3"/>
      <c r="I38" t="s">
        <v>162</v>
      </c>
      <c r="J38">
        <v>194681.08</v>
      </c>
    </row>
    <row r="39" spans="1:10">
      <c r="A39" t="s">
        <v>163</v>
      </c>
      <c r="B39">
        <v>-38766</v>
      </c>
      <c r="E39" t="s">
        <v>163</v>
      </c>
      <c r="F39">
        <v>-2798.66</v>
      </c>
      <c r="I39" t="s">
        <v>163</v>
      </c>
      <c r="J39">
        <v>-34435.82</v>
      </c>
    </row>
    <row r="40" spans="1:10">
      <c r="A40" t="s">
        <v>164</v>
      </c>
      <c r="B40" s="3">
        <v>1675.3</v>
      </c>
      <c r="C40" s="3"/>
      <c r="E40" t="s">
        <v>164</v>
      </c>
      <c r="F40" s="3">
        <v>3368.79</v>
      </c>
      <c r="G40" s="3"/>
      <c r="I40" t="s">
        <v>164</v>
      </c>
      <c r="J40">
        <v>721.51</v>
      </c>
    </row>
    <row r="41" spans="1:10">
      <c r="A41" t="s">
        <v>165</v>
      </c>
      <c r="B41" s="3">
        <v>-46928.2</v>
      </c>
      <c r="C41" s="3"/>
      <c r="E41" t="s">
        <v>165</v>
      </c>
      <c r="F41" s="3">
        <v>1779.7</v>
      </c>
      <c r="G41" s="3"/>
      <c r="I41" t="s">
        <v>165</v>
      </c>
      <c r="J41">
        <v>66202.72</v>
      </c>
    </row>
    <row r="42" spans="1:10">
      <c r="A42" t="s">
        <v>166</v>
      </c>
      <c r="B42" s="3">
        <v>182289.73</v>
      </c>
      <c r="C42" s="3"/>
      <c r="E42" t="s">
        <v>166</v>
      </c>
      <c r="F42" s="3">
        <v>135361.53</v>
      </c>
      <c r="G42" s="3"/>
      <c r="I42" t="s">
        <v>166</v>
      </c>
      <c r="J42">
        <v>137141.23</v>
      </c>
    </row>
    <row r="43" spans="1:10">
      <c r="A43" t="s">
        <v>167</v>
      </c>
      <c r="B43">
        <v>135361.53</v>
      </c>
      <c r="E43" t="s">
        <v>167</v>
      </c>
      <c r="F43">
        <v>137141.23</v>
      </c>
      <c r="I43" t="s">
        <v>167</v>
      </c>
      <c r="J43">
        <v>203343.95</v>
      </c>
    </row>
    <row r="44" spans="1:10">
      <c r="A44" t="s">
        <v>168</v>
      </c>
      <c r="B44" t="s">
        <v>168</v>
      </c>
      <c r="E44" t="s">
        <v>168</v>
      </c>
      <c r="F44" t="s">
        <v>168</v>
      </c>
      <c r="I44" t="s">
        <v>168</v>
      </c>
      <c r="J44" t="s">
        <v>168</v>
      </c>
    </row>
    <row r="45" spans="1:10">
      <c r="A45" t="s">
        <v>169</v>
      </c>
      <c r="B45">
        <v>39635.24</v>
      </c>
      <c r="E45" t="s">
        <v>169</v>
      </c>
      <c r="F45">
        <v>42626.17</v>
      </c>
      <c r="I45" t="s">
        <v>169</v>
      </c>
      <c r="J45">
        <v>60479.22</v>
      </c>
    </row>
    <row r="46" spans="1:10">
      <c r="A46" t="s">
        <v>93</v>
      </c>
      <c r="B46">
        <v>0</v>
      </c>
      <c r="E46" t="s">
        <v>93</v>
      </c>
      <c r="F46">
        <v>0</v>
      </c>
      <c r="I46" t="s">
        <v>93</v>
      </c>
      <c r="J46">
        <v>0</v>
      </c>
    </row>
    <row r="47" spans="1:10">
      <c r="A47" t="s">
        <v>170</v>
      </c>
      <c r="B47">
        <v>0</v>
      </c>
      <c r="E47" t="s">
        <v>170</v>
      </c>
      <c r="F47">
        <v>0</v>
      </c>
      <c r="I47" t="s">
        <v>170</v>
      </c>
      <c r="J47">
        <v>0</v>
      </c>
    </row>
    <row r="48" spans="1:10">
      <c r="A48" t="s">
        <v>171</v>
      </c>
      <c r="B48">
        <v>10817.68</v>
      </c>
      <c r="E48" t="s">
        <v>171</v>
      </c>
      <c r="F48">
        <v>11314.12</v>
      </c>
      <c r="I48" t="s">
        <v>171</v>
      </c>
      <c r="J48">
        <v>11549.95</v>
      </c>
    </row>
    <row r="49" spans="1:10">
      <c r="A49" t="s">
        <v>172</v>
      </c>
      <c r="B49">
        <v>46454.78</v>
      </c>
      <c r="E49" t="s">
        <v>172</v>
      </c>
      <c r="F49">
        <v>47870.32</v>
      </c>
      <c r="I49" t="s">
        <v>172</v>
      </c>
      <c r="J49">
        <v>48143.61</v>
      </c>
    </row>
    <row r="50" spans="1:10">
      <c r="A50" t="s">
        <v>173</v>
      </c>
      <c r="B50">
        <v>1057.74</v>
      </c>
      <c r="E50" t="s">
        <v>173</v>
      </c>
      <c r="F50">
        <v>1075.74</v>
      </c>
      <c r="I50" t="s">
        <v>173</v>
      </c>
      <c r="J50">
        <v>1093.25</v>
      </c>
    </row>
    <row r="51" spans="1:10">
      <c r="A51" t="s">
        <v>174</v>
      </c>
      <c r="B51">
        <v>399.1</v>
      </c>
      <c r="E51" t="s">
        <v>174</v>
      </c>
      <c r="F51">
        <v>199.25</v>
      </c>
      <c r="I51" t="s">
        <v>174</v>
      </c>
      <c r="J51">
        <v>277.8</v>
      </c>
    </row>
    <row r="52" spans="1:10">
      <c r="A52" t="s">
        <v>175</v>
      </c>
      <c r="B52">
        <v>0</v>
      </c>
      <c r="E52" t="s">
        <v>175</v>
      </c>
      <c r="F52">
        <v>0</v>
      </c>
      <c r="I52" t="s">
        <v>175</v>
      </c>
      <c r="J52">
        <v>0</v>
      </c>
    </row>
    <row r="53" spans="1:10">
      <c r="A53" t="s">
        <v>176</v>
      </c>
      <c r="B53">
        <v>0</v>
      </c>
      <c r="E53" t="s">
        <v>176</v>
      </c>
      <c r="F53">
        <v>0</v>
      </c>
      <c r="I53" t="s">
        <v>176</v>
      </c>
      <c r="J53">
        <v>0</v>
      </c>
    </row>
    <row r="54" spans="1:10">
      <c r="A54" t="s">
        <v>177</v>
      </c>
      <c r="B54">
        <v>912.33</v>
      </c>
      <c r="E54" t="s">
        <v>177</v>
      </c>
      <c r="F54">
        <v>313.95</v>
      </c>
      <c r="I54" t="s">
        <v>177</v>
      </c>
      <c r="J54">
        <v>-55.75</v>
      </c>
    </row>
    <row r="55" spans="1:10">
      <c r="A55" t="s">
        <v>178</v>
      </c>
      <c r="B55">
        <v>61.84</v>
      </c>
      <c r="E55" t="s">
        <v>178</v>
      </c>
      <c r="F55">
        <v>234.23</v>
      </c>
      <c r="I55" t="s">
        <v>178</v>
      </c>
      <c r="J55">
        <v>9.72</v>
      </c>
    </row>
    <row r="56" spans="1:10">
      <c r="A56" t="s">
        <v>179</v>
      </c>
      <c r="B56">
        <v>6502.07</v>
      </c>
      <c r="E56" t="s">
        <v>179</v>
      </c>
      <c r="F56">
        <v>9082.68</v>
      </c>
      <c r="I56" t="s">
        <v>179</v>
      </c>
      <c r="J56">
        <v>5580.52</v>
      </c>
    </row>
    <row r="57" spans="1:10">
      <c r="A57" t="s">
        <v>180</v>
      </c>
      <c r="B57">
        <v>0</v>
      </c>
      <c r="E57" t="s">
        <v>180</v>
      </c>
      <c r="F57">
        <v>0</v>
      </c>
      <c r="I57" t="s">
        <v>180</v>
      </c>
      <c r="J57">
        <v>0</v>
      </c>
    </row>
    <row r="58" spans="1:10">
      <c r="A58" t="s">
        <v>181</v>
      </c>
      <c r="B58">
        <v>0</v>
      </c>
      <c r="E58" t="s">
        <v>181</v>
      </c>
      <c r="F58">
        <v>0</v>
      </c>
      <c r="I58" t="s">
        <v>181</v>
      </c>
      <c r="J58">
        <v>0</v>
      </c>
    </row>
    <row r="59" spans="1:10">
      <c r="A59" t="s">
        <v>103</v>
      </c>
      <c r="B59">
        <v>-392.04</v>
      </c>
      <c r="E59" t="s">
        <v>103</v>
      </c>
      <c r="F59">
        <v>-1108.5</v>
      </c>
      <c r="I59" t="s">
        <v>103</v>
      </c>
      <c r="J59">
        <v>5096.58</v>
      </c>
    </row>
    <row r="60" spans="1:10">
      <c r="A60" t="s">
        <v>182</v>
      </c>
      <c r="B60">
        <v>-3936.46</v>
      </c>
      <c r="E60" t="s">
        <v>182</v>
      </c>
      <c r="F60">
        <v>4650.63</v>
      </c>
      <c r="I60" t="s">
        <v>182</v>
      </c>
      <c r="J60">
        <v>-26259.67</v>
      </c>
    </row>
    <row r="61" spans="1:10">
      <c r="A61" t="s">
        <v>183</v>
      </c>
      <c r="B61">
        <v>-396.45</v>
      </c>
      <c r="E61" t="s">
        <v>183</v>
      </c>
      <c r="F61">
        <v>931.89</v>
      </c>
      <c r="I61" t="s">
        <v>183</v>
      </c>
      <c r="J61">
        <v>95.79</v>
      </c>
    </row>
    <row r="62" spans="1:10">
      <c r="A62" t="s">
        <v>184</v>
      </c>
      <c r="B62">
        <v>393.54</v>
      </c>
      <c r="E62" t="s">
        <v>184</v>
      </c>
      <c r="F62">
        <v>-2365.98</v>
      </c>
      <c r="I62" t="s">
        <v>184</v>
      </c>
      <c r="J62">
        <v>-2100.48</v>
      </c>
    </row>
    <row r="63" spans="1:10">
      <c r="A63" t="s">
        <v>185</v>
      </c>
      <c r="B63">
        <v>-1559.4</v>
      </c>
      <c r="E63" t="s">
        <v>185</v>
      </c>
      <c r="F63">
        <v>7475.68</v>
      </c>
      <c r="I63" t="s">
        <v>185</v>
      </c>
      <c r="J63">
        <v>-5838.78</v>
      </c>
    </row>
    <row r="64" spans="1:10">
      <c r="A64" t="s">
        <v>186</v>
      </c>
      <c r="B64">
        <v>-3826.61</v>
      </c>
      <c r="E64" t="s">
        <v>186</v>
      </c>
      <c r="F64">
        <v>-2545.94</v>
      </c>
      <c r="I64" t="s">
        <v>186</v>
      </c>
      <c r="J64">
        <v>-10083.11</v>
      </c>
    </row>
    <row r="65" spans="1:10">
      <c r="A65" t="s">
        <v>187</v>
      </c>
      <c r="B65">
        <v>-13338.65</v>
      </c>
      <c r="E65" t="s">
        <v>187</v>
      </c>
      <c r="F65">
        <v>2007.77</v>
      </c>
      <c r="I65" t="s">
        <v>187</v>
      </c>
      <c r="J65">
        <v>-19437.35</v>
      </c>
    </row>
    <row r="66" spans="1:10">
      <c r="A66" t="s">
        <v>188</v>
      </c>
      <c r="B66">
        <v>0</v>
      </c>
      <c r="E66" t="s">
        <v>188</v>
      </c>
      <c r="F66">
        <v>0</v>
      </c>
      <c r="I66" t="s">
        <v>188</v>
      </c>
      <c r="J66">
        <v>0</v>
      </c>
    </row>
    <row r="67" spans="1:10">
      <c r="A67" t="s">
        <v>189</v>
      </c>
      <c r="B67">
        <v>0</v>
      </c>
      <c r="E67" t="s">
        <v>189</v>
      </c>
      <c r="F67">
        <v>0</v>
      </c>
      <c r="I67" t="s">
        <v>189</v>
      </c>
      <c r="J67">
        <v>0</v>
      </c>
    </row>
    <row r="68" spans="1:10">
      <c r="A68" t="s">
        <v>190</v>
      </c>
      <c r="B68">
        <v>0</v>
      </c>
      <c r="E68" t="s">
        <v>190</v>
      </c>
      <c r="F68">
        <v>0</v>
      </c>
      <c r="I68" t="s">
        <v>190</v>
      </c>
      <c r="J68">
        <v>0</v>
      </c>
    </row>
    <row r="69" spans="1:10">
      <c r="A69" t="s">
        <v>191</v>
      </c>
      <c r="B69">
        <v>85486.45</v>
      </c>
      <c r="E69" t="s">
        <v>191</v>
      </c>
      <c r="F69">
        <v>124421.22</v>
      </c>
      <c r="I69" t="s">
        <v>191</v>
      </c>
      <c r="J69">
        <v>71249.74</v>
      </c>
    </row>
    <row r="70" spans="1:10">
      <c r="A70" t="s">
        <v>192</v>
      </c>
      <c r="B70">
        <v>0</v>
      </c>
      <c r="E70" t="s">
        <v>192</v>
      </c>
      <c r="F70">
        <v>0</v>
      </c>
      <c r="I70" t="s">
        <v>192</v>
      </c>
      <c r="J70">
        <v>0</v>
      </c>
    </row>
    <row r="71" spans="1:10">
      <c r="A71" t="s">
        <v>193</v>
      </c>
      <c r="B71">
        <v>0</v>
      </c>
      <c r="E71" t="s">
        <v>193</v>
      </c>
      <c r="F71">
        <v>0</v>
      </c>
      <c r="I71" t="s">
        <v>193</v>
      </c>
      <c r="J71">
        <v>153904.98</v>
      </c>
    </row>
    <row r="72" spans="1:10">
      <c r="A72" t="s">
        <v>194</v>
      </c>
      <c r="B72">
        <v>0</v>
      </c>
      <c r="E72" t="s">
        <v>194</v>
      </c>
      <c r="F72">
        <v>0</v>
      </c>
      <c r="I72" t="s">
        <v>194</v>
      </c>
      <c r="J72">
        <v>0</v>
      </c>
    </row>
    <row r="73" spans="1:10">
      <c r="A73" t="s">
        <v>195</v>
      </c>
      <c r="B73">
        <v>135361.53</v>
      </c>
      <c r="E73" t="s">
        <v>195</v>
      </c>
      <c r="F73">
        <v>137141.23</v>
      </c>
      <c r="I73" t="s">
        <v>195</v>
      </c>
      <c r="J73">
        <v>203343.95</v>
      </c>
    </row>
    <row r="74" spans="1:10">
      <c r="A74" t="s">
        <v>196</v>
      </c>
      <c r="B74">
        <v>182289.73</v>
      </c>
      <c r="E74" t="s">
        <v>196</v>
      </c>
      <c r="F74">
        <v>135361.53</v>
      </c>
      <c r="I74" t="s">
        <v>196</v>
      </c>
      <c r="J74">
        <v>137141.23</v>
      </c>
    </row>
    <row r="75" spans="1:10">
      <c r="A75" t="s">
        <v>197</v>
      </c>
      <c r="B75">
        <v>0</v>
      </c>
      <c r="E75" t="s">
        <v>197</v>
      </c>
      <c r="F75">
        <v>0</v>
      </c>
      <c r="I75" t="s">
        <v>197</v>
      </c>
      <c r="J75">
        <v>0</v>
      </c>
    </row>
    <row r="76" spans="1:10">
      <c r="A76" t="s">
        <v>198</v>
      </c>
      <c r="B76">
        <v>0</v>
      </c>
      <c r="E76" t="s">
        <v>198</v>
      </c>
      <c r="F76">
        <v>0</v>
      </c>
      <c r="I76" t="s">
        <v>198</v>
      </c>
      <c r="J76">
        <v>0</v>
      </c>
    </row>
    <row r="77" spans="1:10">
      <c r="A77" t="s">
        <v>199</v>
      </c>
      <c r="B77">
        <v>-46928.2</v>
      </c>
      <c r="E77" t="s">
        <v>199</v>
      </c>
      <c r="F77">
        <v>1779.7</v>
      </c>
      <c r="I77" t="s">
        <v>199</v>
      </c>
      <c r="J77">
        <v>66202.72</v>
      </c>
    </row>
  </sheetData>
  <pageMargins left="0.75" right="0.75" top="0.75" bottom="0.5" header="0.5" footer="0.7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J21" sqref="J21"/>
    </sheetView>
  </sheetViews>
  <sheetFormatPr defaultColWidth="9" defaultRowHeight="15" outlineLevelRow="5" outlineLevelCol="3"/>
  <cols>
    <col min="1" max="1" width="15" customWidth="1"/>
  </cols>
  <sheetData>
    <row r="1" spans="1:4">
      <c r="A1" t="s">
        <v>200</v>
      </c>
      <c r="B1" t="s">
        <v>201</v>
      </c>
      <c r="C1" t="s">
        <v>202</v>
      </c>
      <c r="D1" t="s">
        <v>203</v>
      </c>
    </row>
    <row r="2" spans="1:4">
      <c r="A2" t="s">
        <v>204</v>
      </c>
      <c r="B2" s="1">
        <f>利润表!F17/利润表!F4</f>
        <v>0.0766375973526483</v>
      </c>
      <c r="C2" s="1">
        <f>利润表!J17/利润表!J4</f>
        <v>0.115055755807619</v>
      </c>
      <c r="D2" s="1">
        <f>(C2-B2)/B2</f>
        <v>0.501296488695872</v>
      </c>
    </row>
    <row r="3" spans="1:4">
      <c r="A3" t="s">
        <v>205</v>
      </c>
      <c r="B3" s="1">
        <f>利润表!F23/利润表!F4</f>
        <v>0.0699866433849455</v>
      </c>
      <c r="C3" s="1">
        <f>利润表!J23/利润表!J4</f>
        <v>0.102432347414355</v>
      </c>
      <c r="D3" s="1">
        <f>(C3-B3)/B3</f>
        <v>0.463598516233298</v>
      </c>
    </row>
    <row r="4" spans="1:4">
      <c r="A4" t="s">
        <v>206</v>
      </c>
      <c r="B4" s="1">
        <f ca="1">利润表!F23/SUM(利润表!F6:利润表!F11)</f>
        <v>0.0788726266374664</v>
      </c>
      <c r="C4" s="1">
        <f ca="1">利润表!J23/SUM(利润表!J6:利润表!J11)</f>
        <v>0.113193971938987</v>
      </c>
      <c r="D4" s="1">
        <f ca="1">(C4-B4)/B4</f>
        <v>0.435149008784466</v>
      </c>
    </row>
    <row r="5" spans="1:4">
      <c r="A5" t="s">
        <v>207</v>
      </c>
      <c r="B5" s="1">
        <f>利润表!F23/((资产负债表!B94+资产负债表!F94)/2)</f>
        <v>0.0438562595784715</v>
      </c>
      <c r="C5" s="1">
        <f>利润表!J23/((资产负债表!F94+资产负债表!J94)/2)</f>
        <v>0.0606257421123093</v>
      </c>
      <c r="D5" s="1">
        <f>(C5-B5)/B5</f>
        <v>0.382373752231022</v>
      </c>
    </row>
    <row r="6" spans="1:4">
      <c r="A6" t="s">
        <v>208</v>
      </c>
      <c r="B6" s="1">
        <f>(利润表!F21+利润表!F10)/((资产负债表!B48+资产负债表!F48)/2)</f>
        <v>0.0339225635577261</v>
      </c>
      <c r="C6" s="1">
        <f>(利润表!J21+利润表!J10)/((资产负债表!F48+资产负债表!J48)/2)</f>
        <v>0.0535455121441161</v>
      </c>
      <c r="D6" s="1">
        <f>(C6-B6)/B6</f>
        <v>0.578463020726533</v>
      </c>
    </row>
  </sheetData>
  <pageMargins left="0.75" right="0.75" top="0.75" bottom="0.5" header="0.5" footer="0.7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1" sqref="B1"/>
    </sheetView>
  </sheetViews>
  <sheetFormatPr defaultColWidth="9" defaultRowHeight="15" outlineLevelRow="4" outlineLevelCol="3"/>
  <sheetData>
    <row r="1" spans="1:4">
      <c r="A1" t="s">
        <v>209</v>
      </c>
      <c r="B1" t="s">
        <v>201</v>
      </c>
      <c r="C1" t="s">
        <v>202</v>
      </c>
      <c r="D1" t="s">
        <v>203</v>
      </c>
    </row>
    <row r="2" spans="1:4">
      <c r="A2" t="s">
        <v>210</v>
      </c>
      <c r="B2" s="1">
        <f>资产负债表!F4/资产负债表!F68</f>
        <v>1.15775903509155</v>
      </c>
      <c r="C2" s="1">
        <f>资产负债表!J4/资产负债表!J68</f>
        <v>0.716254950444159</v>
      </c>
      <c r="D2" s="1">
        <f>(C2-B2)/B2</f>
        <v>-0.38134367451728</v>
      </c>
    </row>
    <row r="3" spans="1:4">
      <c r="A3" t="s">
        <v>211</v>
      </c>
      <c r="B3" s="1">
        <f>(资产负债表!F23-资产负债表!F17)/资产负债表!F68</f>
        <v>2.24764045113398</v>
      </c>
      <c r="C3" s="1">
        <f>(资产负债表!J23-资产负债表!J17)/资产负债表!J68</f>
        <v>1.36026604857137</v>
      </c>
      <c r="D3" s="1">
        <f>(C3-B3)/B3</f>
        <v>-0.394802648312774</v>
      </c>
    </row>
    <row r="4" spans="1:4">
      <c r="A4" t="s">
        <v>212</v>
      </c>
      <c r="B4" s="1">
        <f>资产负债表!F23/资产负债表!F68</f>
        <v>3.38514157180566</v>
      </c>
      <c r="C4" s="1">
        <f>资产负债表!J23/资产负债表!J68</f>
        <v>1.98999386319442</v>
      </c>
      <c r="D4" s="1">
        <f>(C4-B4)/B4</f>
        <v>-0.412138659201499</v>
      </c>
    </row>
    <row r="5" spans="1:4">
      <c r="A5" t="s">
        <v>213</v>
      </c>
      <c r="B5" s="1">
        <f>资产负债表!F82/资产负债表!F94</f>
        <v>0.418278210124457</v>
      </c>
      <c r="C5" s="1">
        <f>资产负债表!J82/资产负债表!J94</f>
        <v>0.39255970101605</v>
      </c>
      <c r="D5" s="1">
        <f>(C5-B5)/B5</f>
        <v>-0.0614866098350065</v>
      </c>
    </row>
  </sheetData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资产负债表</vt:lpstr>
      <vt:lpstr>利润表</vt:lpstr>
      <vt:lpstr>现金流量表</vt:lpstr>
      <vt:lpstr>盈利能力分析</vt:lpstr>
      <vt:lpstr>偿债能力分析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赵新星</dc:creator>
  <cp:lastModifiedBy>WPS_1669970695</cp:lastModifiedBy>
  <dcterms:created xsi:type="dcterms:W3CDTF">2019-08-30T01:47:00Z</dcterms:created>
  <dcterms:modified xsi:type="dcterms:W3CDTF">2026-07-01T15:57:06Z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5AC939F6E8854BFE9C47E32B1511FE0C_12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