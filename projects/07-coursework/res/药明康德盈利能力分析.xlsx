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75" yWindow="3075" windowWidth="21600" windowHeight="11295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tabSelected="1" workbookViewId="0">
      <selection activeCell="A1" sqref="A1"/>
    </sheetView>
  </sheetViews>
  <sheetFormatPr baseColWidth="8" defaultRowHeight="13.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盈利能力分析报告 — 药明康德</t>
        </is>
      </c>
      <c r="B1" s="1" t="inlineStr">
        <is>
          <t>2023年金额</t>
        </is>
      </c>
      <c r="C1" t="inlineStr">
        <is>
          <t>2024年金额</t>
        </is>
      </c>
      <c r="D1" t="inlineStr">
        <is>
          <t>2025年金额</t>
        </is>
      </c>
    </row>
    <row r="2">
      <c r="A2" t="inlineStr">
        <is>
          <t>分析期间: 2023-2025年度</t>
        </is>
      </c>
      <c r="B2" t="inlineStr">
        <is>
          <t>金额</t>
        </is>
      </c>
      <c r="C2" t="inlineStr">
        <is>
          <t>金额</t>
        </is>
      </c>
      <c r="D2" t="inlineStr">
        <is>
          <t>金额</t>
        </is>
      </c>
    </row>
    <row r="3">
      <c r="B3" s="2" t="n">
        <v>45291</v>
      </c>
      <c r="C3" s="2" t="n">
        <v>45657</v>
      </c>
      <c r="D3" s="2" t="n">
        <v>46022</v>
      </c>
    </row>
    <row r="4">
      <c r="A4" t="inlineStr">
        <is>
          <t>指标名称</t>
        </is>
      </c>
      <c r="B4" t="inlineStr">
        <is>
          <t>2023年</t>
        </is>
      </c>
      <c r="C4" t="inlineStr">
        <is>
          <t>2024年</t>
        </is>
      </c>
      <c r="D4" t="inlineStr">
        <is>
          <t>2025年</t>
        </is>
      </c>
      <c r="E4" t="inlineStr">
        <is>
          <t>说明</t>
        </is>
      </c>
    </row>
    <row r="5">
      <c r="A5" t="inlineStr">
        <is>
          <t>一、关键原始数据（亿元）</t>
        </is>
      </c>
    </row>
    <row r="6">
      <c r="A6" t="inlineStr">
        <is>
          <t>营业收入</t>
        </is>
      </c>
      <c r="B6" s="3" t="n">
        <v>0.0403408069</v>
      </c>
      <c r="C6" s="3" t="n">
        <v>0.0392414314</v>
      </c>
      <c r="D6" s="3" t="n">
        <v>0.0454561658</v>
      </c>
    </row>
    <row r="7">
      <c r="A7" t="inlineStr">
        <is>
          <t>营业成本</t>
        </is>
      </c>
      <c r="B7" s="3" t="n">
        <v>0.0237287996</v>
      </c>
      <c r="C7" s="3" t="n">
        <v>0.0229645155</v>
      </c>
      <c r="D7" s="3" t="n">
        <v>0.0238014346</v>
      </c>
    </row>
    <row r="8">
      <c r="A8" t="inlineStr">
        <is>
          <t>净利润</t>
        </is>
      </c>
      <c r="B8" s="3" t="n">
        <v>0.009606749100000001</v>
      </c>
      <c r="C8" s="3" t="n">
        <v>0.009450308399999999</v>
      </c>
      <c r="D8" s="3" t="n">
        <v>0.0191505824</v>
      </c>
    </row>
    <row r="9">
      <c r="A9" t="inlineStr">
        <is>
          <t>总资产</t>
        </is>
      </c>
      <c r="B9" s="3" t="n">
        <v>0.07366934930000001</v>
      </c>
      <c r="C9" s="3" t="n">
        <v>0.0803258244</v>
      </c>
      <c r="D9" s="3" t="n">
        <v>0.1031209686</v>
      </c>
    </row>
    <row r="10">
      <c r="A10" t="inlineStr">
        <is>
          <t>所有者权益</t>
        </is>
      </c>
      <c r="B10" s="3" t="n">
        <v>0.0551224539</v>
      </c>
      <c r="C10" s="3" t="n">
        <v>0.0586327152</v>
      </c>
      <c r="D10" s="3" t="n">
        <v>0.07971229019999999</v>
      </c>
    </row>
    <row r="11">
      <c r="A11" t="inlineStr">
        <is>
          <t>基本每股收益(元)</t>
        </is>
      </c>
      <c r="B11" s="4" t="n">
        <v>3.24</v>
      </c>
      <c r="C11" s="4" t="n">
        <v>3.25999999999999</v>
      </c>
      <c r="D11" s="4" t="n">
        <v>6.61</v>
      </c>
    </row>
    <row r="12"/>
    <row r="13">
      <c r="A13" t="inlineStr">
        <is>
          <t>二、盈利能力指标</t>
        </is>
      </c>
    </row>
    <row r="14">
      <c r="A14" t="inlineStr">
        <is>
          <t>销售毛利率(%)</t>
        </is>
      </c>
      <c r="B14" s="4" t="n">
        <v>41.1791646636597</v>
      </c>
      <c r="C14" s="4" t="n">
        <v>41.478904615085</v>
      </c>
      <c r="D14" s="4" t="n">
        <v>47.6387104343059</v>
      </c>
      <c r="E14">
        <f>(收入-成本)/收入</f>
        <v/>
      </c>
    </row>
    <row r="15">
      <c r="A15" t="inlineStr">
        <is>
          <t>销售净利率(%)</t>
        </is>
      </c>
      <c r="B15" s="4" t="n">
        <v>23.8139735871272</v>
      </c>
      <c r="C15" s="4" t="n">
        <v>24.0824762574792</v>
      </c>
      <c r="D15" s="4" t="n">
        <v>42.1297794544739</v>
      </c>
      <c r="E15">
        <f>净利润/收入</f>
        <v/>
      </c>
    </row>
    <row r="16">
      <c r="A16" t="inlineStr">
        <is>
          <t>营业利润率(%)</t>
        </is>
      </c>
      <c r="B16" s="4" t="n">
        <v>29.4299663599441</v>
      </c>
      <c r="C16" s="4" t="n">
        <v>29.510072102008</v>
      </c>
      <c r="D16" s="4" t="n">
        <v>52.6443077167762</v>
      </c>
      <c r="E16">
        <f>营业利润/收入</f>
        <v/>
      </c>
    </row>
    <row r="17">
      <c r="A17" t="inlineStr">
        <is>
          <t>ROE(%)</t>
        </is>
      </c>
      <c r="B17" s="4" t="n">
        <v>17.428014212553</v>
      </c>
      <c r="C17" s="4" t="n">
        <v>16.6151718199151</v>
      </c>
      <c r="D17" s="4" t="n">
        <v>27.6852530304647</v>
      </c>
      <c r="E17">
        <f>净利润/平均净资产</f>
        <v/>
      </c>
    </row>
    <row r="18">
      <c r="A18" t="inlineStr">
        <is>
          <t>ROA(%)</t>
        </is>
      </c>
      <c r="B18" s="4" t="n">
        <v>13.0403610066907</v>
      </c>
      <c r="C18" s="4" t="n">
        <v>12.2735124393058</v>
      </c>
      <c r="D18" s="4" t="n">
        <v>20.8786232638038</v>
      </c>
      <c r="E18">
        <f>净利润/平均总资产</f>
        <v/>
      </c>
    </row>
    <row r="19">
      <c r="A19" t="inlineStr">
        <is>
          <t>划分为持有待售的资产</t>
        </is>
      </c>
      <c r="B19" s="4" t="n">
        <v>0</v>
      </c>
      <c r="C19" s="4" t="n">
        <v>219133.17</v>
      </c>
      <c r="D19" s="4" t="n">
        <v>2604.56</v>
      </c>
    </row>
    <row r="20">
      <c r="A20" t="inlineStr">
        <is>
          <t>一年内到期的非流动资产</t>
        </is>
      </c>
      <c r="B20" s="4" t="n">
        <v>78577.95</v>
      </c>
      <c r="C20" s="4" t="n">
        <v>73407.77</v>
      </c>
      <c r="D20" s="4" t="n">
        <v>140298.72</v>
      </c>
    </row>
    <row r="21">
      <c r="A21" t="inlineStr">
        <is>
          <t>待摊费用</t>
        </is>
      </c>
      <c r="B21" s="4" t="n">
        <v>0</v>
      </c>
      <c r="C21" s="4" t="n">
        <v>0</v>
      </c>
      <c r="D21" s="4" t="n">
        <v>0</v>
      </c>
    </row>
    <row r="22">
      <c r="A22" t="inlineStr">
        <is>
          <t>待处理流动资产损益</t>
        </is>
      </c>
      <c r="B22" s="4" t="n">
        <v>0</v>
      </c>
      <c r="C22" s="4" t="n">
        <v>0</v>
      </c>
      <c r="D22" s="4" t="n">
        <v>0</v>
      </c>
    </row>
    <row r="23">
      <c r="A23" t="inlineStr">
        <is>
          <t>其他流动资产</t>
        </is>
      </c>
      <c r="B23" s="4" t="n">
        <v>114355.38</v>
      </c>
      <c r="C23" s="4" t="n">
        <v>142617.17</v>
      </c>
      <c r="D23" s="4" t="n">
        <v>152656.23</v>
      </c>
    </row>
    <row r="24">
      <c r="A24" t="inlineStr">
        <is>
          <t>流动资产合计</t>
        </is>
      </c>
      <c r="B24" s="4" t="n">
        <v>3042247.1</v>
      </c>
      <c r="C24" s="4" t="n">
        <v>3869015.23</v>
      </c>
      <c r="D24" s="4" t="n">
        <v>6167705.59</v>
      </c>
    </row>
    <row r="25">
      <c r="A25" t="inlineStr">
        <is>
          <t>非流动资产</t>
        </is>
      </c>
      <c r="B25" t="inlineStr">
        <is>
          <t>非流动资产</t>
        </is>
      </c>
      <c r="C25" t="inlineStr">
        <is>
          <t>非流动资产</t>
        </is>
      </c>
      <c r="D25" t="inlineStr">
        <is>
          <t>非流动资产</t>
        </is>
      </c>
    </row>
    <row r="26">
      <c r="A26" t="inlineStr">
        <is>
          <t>发放贷款及垫款</t>
        </is>
      </c>
      <c r="B26" s="4" t="n">
        <v>0</v>
      </c>
      <c r="C26" s="4" t="n">
        <v>0</v>
      </c>
      <c r="D26" s="4" t="n">
        <v>0</v>
      </c>
    </row>
    <row r="27">
      <c r="A27" t="inlineStr">
        <is>
          <t>可供出售金融资产</t>
        </is>
      </c>
      <c r="B27" s="4" t="n">
        <v>0</v>
      </c>
      <c r="C27" s="4" t="n">
        <v>0</v>
      </c>
      <c r="D27" s="4" t="n">
        <v>0</v>
      </c>
    </row>
    <row r="28">
      <c r="A28" t="inlineStr">
        <is>
          <t>持有至到期投资</t>
        </is>
      </c>
      <c r="B28" s="4" t="n">
        <v>0</v>
      </c>
      <c r="C28" s="4" t="n">
        <v>0</v>
      </c>
      <c r="D28" s="4" t="n">
        <v>0</v>
      </c>
    </row>
    <row r="29">
      <c r="A29" t="inlineStr">
        <is>
          <t>长期应收款</t>
        </is>
      </c>
      <c r="B29" s="4" t="n">
        <v>0</v>
      </c>
      <c r="C29" s="4" t="n">
        <v>0</v>
      </c>
      <c r="D29" s="4" t="n">
        <v>0</v>
      </c>
    </row>
    <row r="30">
      <c r="A30" t="inlineStr">
        <is>
          <t>长期股权投资</t>
        </is>
      </c>
      <c r="B30" s="4" t="n">
        <v>221562.96</v>
      </c>
      <c r="C30" s="4" t="n">
        <v>232554.75</v>
      </c>
      <c r="D30" s="4" t="n">
        <v>214487.69</v>
      </c>
    </row>
    <row r="31">
      <c r="A31" t="inlineStr">
        <is>
          <t>投资性房地产</t>
        </is>
      </c>
      <c r="B31" s="4" t="n">
        <v>0</v>
      </c>
      <c r="C31" s="4" t="n">
        <v>0</v>
      </c>
      <c r="D31" s="4" t="n">
        <v>0</v>
      </c>
    </row>
    <row r="32">
      <c r="A32" t="inlineStr">
        <is>
          <t>在建工程(合计)</t>
        </is>
      </c>
      <c r="B32" s="4" t="n">
        <v>698239.29</v>
      </c>
      <c r="C32" s="4" t="n">
        <v>596579.4300000001</v>
      </c>
      <c r="D32" s="4" t="n">
        <v>587551.8199999999</v>
      </c>
    </row>
    <row r="33">
      <c r="A33" t="inlineStr">
        <is>
          <t>在建工程</t>
        </is>
      </c>
      <c r="B33" s="4" t="n">
        <v>698239.29</v>
      </c>
      <c r="C33" s="4" t="n">
        <v>596579.4300000001</v>
      </c>
      <c r="D33" s="4" t="n">
        <v>0</v>
      </c>
    </row>
    <row r="34">
      <c r="A34" t="inlineStr">
        <is>
          <t>工程物资</t>
        </is>
      </c>
      <c r="B34" s="4" t="n">
        <v>0</v>
      </c>
      <c r="C34" s="4" t="n">
        <v>0</v>
      </c>
      <c r="D34" s="4" t="n">
        <v>0</v>
      </c>
    </row>
    <row r="35">
      <c r="A35" t="inlineStr">
        <is>
          <t>固定资产及清理(合计)</t>
        </is>
      </c>
      <c r="B35" s="4" t="n">
        <v>1718991.53</v>
      </c>
      <c r="C35" s="4" t="n">
        <v>1878418.99</v>
      </c>
      <c r="D35" s="4" t="n">
        <v>1999993.18</v>
      </c>
    </row>
    <row r="36">
      <c r="A36" t="inlineStr">
        <is>
          <t>固定资产净额</t>
        </is>
      </c>
      <c r="B36" s="4" t="n">
        <v>1718991.53</v>
      </c>
      <c r="C36" s="4" t="n">
        <v>1878418.99</v>
      </c>
      <c r="D36" s="4" t="n">
        <v>1999993.18</v>
      </c>
    </row>
    <row r="37">
      <c r="A37" t="inlineStr">
        <is>
          <t>固定资产清理</t>
        </is>
      </c>
      <c r="B37" s="4" t="n">
        <v>0</v>
      </c>
      <c r="C37" s="4" t="n">
        <v>0</v>
      </c>
      <c r="D37" s="4" t="n">
        <v>0</v>
      </c>
    </row>
    <row r="38">
      <c r="A38" t="inlineStr">
        <is>
          <t>生产性生物资产</t>
        </is>
      </c>
      <c r="B38" s="4" t="n">
        <v>101247.8</v>
      </c>
      <c r="C38" s="4" t="n">
        <v>106296.9</v>
      </c>
      <c r="D38" s="4" t="n">
        <v>101327.3</v>
      </c>
    </row>
    <row r="39">
      <c r="A39" t="inlineStr">
        <is>
          <t>公益性生物资产</t>
        </is>
      </c>
      <c r="B39" s="4" t="n">
        <v>0</v>
      </c>
      <c r="C39" s="4" t="n">
        <v>0</v>
      </c>
      <c r="D39" s="4" t="n">
        <v>0</v>
      </c>
    </row>
    <row r="40">
      <c r="A40" t="inlineStr">
        <is>
          <t>油气资产</t>
        </is>
      </c>
      <c r="B40" s="4" t="n">
        <v>0</v>
      </c>
      <c r="C40" s="4" t="n">
        <v>0</v>
      </c>
      <c r="D40" s="4" t="n">
        <v>0</v>
      </c>
    </row>
    <row r="41">
      <c r="A41" t="inlineStr">
        <is>
          <t>使用权资产</t>
        </is>
      </c>
      <c r="B41" s="4" t="n">
        <v>139121.34</v>
      </c>
      <c r="C41" s="4" t="n">
        <v>90103.09</v>
      </c>
      <c r="D41" s="4" t="n">
        <v>76311.46000000001</v>
      </c>
    </row>
    <row r="42">
      <c r="A42" t="inlineStr">
        <is>
          <t>无形资产</t>
        </is>
      </c>
      <c r="B42" s="4" t="n">
        <v>186380.07</v>
      </c>
      <c r="C42" s="4" t="n">
        <v>157480.22</v>
      </c>
      <c r="D42" s="4" t="n">
        <v>128052.33</v>
      </c>
    </row>
    <row r="43">
      <c r="A43" t="inlineStr">
        <is>
          <t>开发支出</t>
        </is>
      </c>
      <c r="B43" s="4" t="n">
        <v>0</v>
      </c>
      <c r="C43" s="4" t="n">
        <v>0</v>
      </c>
      <c r="D43" s="4" t="n">
        <v>0</v>
      </c>
    </row>
    <row r="44">
      <c r="A44" t="inlineStr">
        <is>
          <t>商誉</t>
        </is>
      </c>
      <c r="B44" s="4" t="n">
        <v>182087.27</v>
      </c>
      <c r="C44" s="4" t="n">
        <v>97235.24000000001</v>
      </c>
      <c r="D44" s="4" t="n">
        <v>86438.89</v>
      </c>
    </row>
    <row r="45">
      <c r="A45" t="inlineStr">
        <is>
          <t>长期待摊费用</t>
        </is>
      </c>
      <c r="B45" s="4" t="n">
        <v>167972.13</v>
      </c>
      <c r="C45" s="4" t="n">
        <v>52678.52</v>
      </c>
      <c r="D45" s="4" t="n">
        <v>36683.48</v>
      </c>
    </row>
    <row r="46">
      <c r="A46" t="inlineStr">
        <is>
          <t>递延所得税资产</t>
        </is>
      </c>
      <c r="B46" s="4" t="n">
        <v>36669.12</v>
      </c>
      <c r="C46" s="4" t="n">
        <v>47306.71</v>
      </c>
      <c r="D46" s="4" t="n">
        <v>53129.69</v>
      </c>
    </row>
    <row r="47">
      <c r="A47" t="inlineStr">
        <is>
          <t>其他非流动资产</t>
        </is>
      </c>
      <c r="B47" s="4" t="n">
        <v>9815.41</v>
      </c>
      <c r="C47" s="4" t="n">
        <v>10572.91</v>
      </c>
      <c r="D47" s="4" t="n">
        <v>47294.59</v>
      </c>
    </row>
    <row r="48">
      <c r="A48" t="inlineStr">
        <is>
          <t>非流动资产合计</t>
        </is>
      </c>
      <c r="B48" s="4" t="n">
        <v>4324687.83</v>
      </c>
      <c r="C48" s="4" t="n">
        <v>4163567.21</v>
      </c>
      <c r="D48" s="4" t="n">
        <v>4144391.27</v>
      </c>
    </row>
    <row r="49">
      <c r="A49" t="inlineStr">
        <is>
          <t>资产总计</t>
        </is>
      </c>
      <c r="B49" s="4" t="n">
        <v>7366934.93</v>
      </c>
      <c r="C49" s="4" t="n">
        <v>8032582.44</v>
      </c>
      <c r="D49" s="4" t="n">
        <v>10312096.86</v>
      </c>
    </row>
    <row r="50">
      <c r="A50" t="inlineStr">
        <is>
          <t>流动负债</t>
        </is>
      </c>
      <c r="B50" t="inlineStr">
        <is>
          <t>流动负债</t>
        </is>
      </c>
      <c r="C50" t="inlineStr">
        <is>
          <t>流动负债</t>
        </is>
      </c>
      <c r="D50" t="inlineStr">
        <is>
          <t>流动负债</t>
        </is>
      </c>
    </row>
    <row r="51">
      <c r="A51" t="inlineStr">
        <is>
          <t>短期借款</t>
        </is>
      </c>
      <c r="B51" s="4" t="n">
        <v>366705.97</v>
      </c>
      <c r="C51" s="4" t="n">
        <v>124268.97</v>
      </c>
      <c r="D51" s="4" t="n">
        <v>598613.84</v>
      </c>
    </row>
    <row r="52">
      <c r="A52" t="inlineStr">
        <is>
          <t>交易性金融负债</t>
        </is>
      </c>
      <c r="B52" s="4" t="n">
        <v>0</v>
      </c>
      <c r="C52" s="4" t="n">
        <v>0</v>
      </c>
      <c r="D52" s="4" t="n">
        <v>0</v>
      </c>
    </row>
    <row r="53">
      <c r="A53" t="inlineStr">
        <is>
          <t>应付票据及应付账款</t>
        </is>
      </c>
      <c r="B53" s="4" t="n">
        <v>164532.15</v>
      </c>
      <c r="C53" s="4" t="n">
        <v>176444.14</v>
      </c>
      <c r="D53" s="4" t="n">
        <v>244952.39</v>
      </c>
    </row>
    <row r="54">
      <c r="A54" t="inlineStr">
        <is>
          <t>应付票据</t>
        </is>
      </c>
      <c r="B54" s="4" t="n">
        <v>0</v>
      </c>
      <c r="C54" s="4" t="n">
        <v>1438.08</v>
      </c>
      <c r="D54" s="4" t="n">
        <v>0</v>
      </c>
    </row>
    <row r="55">
      <c r="A55" t="inlineStr">
        <is>
          <t>应付账款</t>
        </is>
      </c>
      <c r="B55" s="4" t="n">
        <v>164532.15</v>
      </c>
      <c r="C55" s="4" t="n">
        <v>175006.06</v>
      </c>
      <c r="D55" s="4" t="n">
        <v>244952.39</v>
      </c>
    </row>
    <row r="56">
      <c r="A56" t="inlineStr">
        <is>
          <t>预收款项</t>
        </is>
      </c>
      <c r="B56" s="4" t="n">
        <v>0</v>
      </c>
      <c r="C56" s="4" t="n">
        <v>0</v>
      </c>
      <c r="D56" s="4" t="n">
        <v>0</v>
      </c>
    </row>
    <row r="57">
      <c r="A57" t="inlineStr">
        <is>
          <t>应付手续费及佣金</t>
        </is>
      </c>
      <c r="B57" s="4" t="n">
        <v>0</v>
      </c>
      <c r="C57" s="4" t="n">
        <v>0</v>
      </c>
      <c r="D57" s="4" t="n">
        <v>0</v>
      </c>
    </row>
    <row r="58">
      <c r="A58" t="inlineStr">
        <is>
          <t>应付职工薪酬</t>
        </is>
      </c>
      <c r="B58" s="4" t="n">
        <v>212563.59</v>
      </c>
      <c r="C58" s="4" t="n">
        <v>214724.32</v>
      </c>
      <c r="D58" s="4" t="n">
        <v>232630.89</v>
      </c>
    </row>
    <row r="59">
      <c r="A59" t="inlineStr">
        <is>
          <t>应交税费</t>
        </is>
      </c>
      <c r="B59" s="4" t="n">
        <v>137374.11</v>
      </c>
      <c r="C59" s="4" t="n">
        <v>121063.61</v>
      </c>
      <c r="D59" s="4" t="n">
        <v>276281.35</v>
      </c>
    </row>
    <row r="60">
      <c r="A60" t="inlineStr">
        <is>
          <t>其他应付款(合计)</t>
        </is>
      </c>
      <c r="B60" s="4" t="n">
        <v>319226.59</v>
      </c>
      <c r="C60" s="4" t="n">
        <v>278932.19</v>
      </c>
      <c r="D60" s="4" t="n">
        <v>284170.55</v>
      </c>
    </row>
    <row r="61">
      <c r="A61" t="inlineStr">
        <is>
          <t>应付利息</t>
        </is>
      </c>
      <c r="B61" s="4" t="n">
        <v>2229.28</v>
      </c>
      <c r="C61" s="4" t="n">
        <v>2661.99</v>
      </c>
      <c r="D61" s="4" t="n">
        <v>101.67</v>
      </c>
    </row>
    <row r="62">
      <c r="A62" t="inlineStr">
        <is>
          <t>应付股利</t>
        </is>
      </c>
      <c r="B62" s="4" t="n">
        <v>0</v>
      </c>
      <c r="C62" s="4" t="n">
        <v>0</v>
      </c>
      <c r="D62" s="4" t="n">
        <v>2360.66</v>
      </c>
    </row>
    <row r="63">
      <c r="A63" t="inlineStr">
        <is>
          <t>其他应付款</t>
        </is>
      </c>
      <c r="B63" s="4" t="n">
        <v>316997.31</v>
      </c>
      <c r="C63" s="4" t="n">
        <v>276270.2</v>
      </c>
      <c r="D63" s="4" t="n">
        <v>0</v>
      </c>
    </row>
    <row r="64">
      <c r="A64" t="inlineStr">
        <is>
          <t>预提费用</t>
        </is>
      </c>
      <c r="B64" s="4" t="n">
        <v>0</v>
      </c>
      <c r="C64" s="4" t="n">
        <v>0</v>
      </c>
      <c r="D64" s="4" t="n">
        <v>0</v>
      </c>
    </row>
    <row r="65">
      <c r="A65" t="inlineStr">
        <is>
          <t>一年内的递延收益</t>
        </is>
      </c>
      <c r="B65" s="4" t="n">
        <v>0</v>
      </c>
      <c r="C65" s="4" t="n">
        <v>0</v>
      </c>
      <c r="D65" s="4" t="n">
        <v>0</v>
      </c>
    </row>
    <row r="66">
      <c r="A66" t="inlineStr">
        <is>
          <t>应付短期债券</t>
        </is>
      </c>
      <c r="B66" s="4" t="n">
        <v>0</v>
      </c>
      <c r="C66" s="4" t="n">
        <v>0</v>
      </c>
      <c r="D66" s="4" t="n">
        <v>0</v>
      </c>
    </row>
    <row r="67">
      <c r="A67" t="inlineStr">
        <is>
          <t>一年内到期的非流动负债</t>
        </is>
      </c>
      <c r="B67" s="4" t="n">
        <v>29503.74</v>
      </c>
      <c r="C67" s="4" t="n">
        <v>26009.68</v>
      </c>
      <c r="D67" s="4" t="n">
        <v>15961.81</v>
      </c>
    </row>
    <row r="68">
      <c r="A68" t="inlineStr">
        <is>
          <t>其他流动负债</t>
        </is>
      </c>
      <c r="B68" s="4" t="n">
        <v>0</v>
      </c>
      <c r="C68" s="4" t="n">
        <v>349308.38</v>
      </c>
      <c r="D68" s="4" t="n">
        <v>0</v>
      </c>
    </row>
    <row r="69">
      <c r="A69" t="inlineStr">
        <is>
          <t>流动负债合计</t>
        </is>
      </c>
      <c r="B69" s="4" t="n">
        <v>1475629.62</v>
      </c>
      <c r="C69" s="4" t="n">
        <v>1622611.49</v>
      </c>
      <c r="D69" s="4" t="n">
        <v>1923526.82</v>
      </c>
    </row>
    <row r="70">
      <c r="A70" t="inlineStr">
        <is>
          <t>非流动负债</t>
        </is>
      </c>
      <c r="B70" t="inlineStr">
        <is>
          <t>非流动负债</t>
        </is>
      </c>
      <c r="C70" t="inlineStr">
        <is>
          <t>非流动负债</t>
        </is>
      </c>
      <c r="D70" t="inlineStr">
        <is>
          <t>非流动负债</t>
        </is>
      </c>
    </row>
    <row r="71">
      <c r="A71" t="inlineStr">
        <is>
          <t>长期借款</t>
        </is>
      </c>
      <c r="B71" s="4" t="n">
        <v>68701.66</v>
      </c>
      <c r="C71" s="4" t="n">
        <v>295950.87</v>
      </c>
      <c r="D71" s="4" t="n">
        <v>181910</v>
      </c>
    </row>
    <row r="72">
      <c r="A72" t="inlineStr">
        <is>
          <t>应付债券</t>
        </is>
      </c>
      <c r="B72" s="4" t="n">
        <v>0</v>
      </c>
      <c r="C72" s="4" t="n">
        <v>0</v>
      </c>
      <c r="D72" s="4" t="n">
        <v>0</v>
      </c>
    </row>
    <row r="73">
      <c r="A73" t="inlineStr">
        <is>
          <t>租赁负债</t>
        </is>
      </c>
      <c r="B73" s="4" t="n">
        <v>109855.22</v>
      </c>
      <c r="C73" s="4" t="n">
        <v>54656.09</v>
      </c>
      <c r="D73" s="4" t="n">
        <v>45525.67</v>
      </c>
    </row>
    <row r="74">
      <c r="A74" t="inlineStr">
        <is>
          <t>长期应付职工薪酬</t>
        </is>
      </c>
      <c r="B74" s="4" t="n">
        <v>0</v>
      </c>
      <c r="C74" s="4" t="n">
        <v>0</v>
      </c>
      <c r="D74" s="4" t="n">
        <v>0</v>
      </c>
    </row>
    <row r="75">
      <c r="A75" t="inlineStr">
        <is>
          <t>长期应付款(合计)</t>
        </is>
      </c>
      <c r="B75" s="4" t="n">
        <v>0</v>
      </c>
      <c r="C75" s="4" t="n">
        <v>0</v>
      </c>
      <c r="D75" s="4" t="n">
        <v>0</v>
      </c>
    </row>
    <row r="76">
      <c r="A76" t="inlineStr">
        <is>
          <t>长期应付款</t>
        </is>
      </c>
      <c r="B76" s="4" t="n">
        <v>0</v>
      </c>
      <c r="C76" s="4" t="n">
        <v>0</v>
      </c>
      <c r="D76" s="4" t="n">
        <v>0</v>
      </c>
    </row>
    <row r="77">
      <c r="A77" t="inlineStr">
        <is>
          <t>专项应付款</t>
        </is>
      </c>
      <c r="B77" s="4" t="n">
        <v>0</v>
      </c>
      <c r="C77" s="4" t="n">
        <v>0</v>
      </c>
      <c r="D77" s="4" t="n">
        <v>0</v>
      </c>
    </row>
    <row r="78">
      <c r="A78" t="inlineStr">
        <is>
          <t>预计非流动负债</t>
        </is>
      </c>
      <c r="B78" s="4" t="n">
        <v>0</v>
      </c>
      <c r="C78" s="4" t="n">
        <v>0</v>
      </c>
      <c r="D78" s="4" t="n">
        <v>0</v>
      </c>
    </row>
    <row r="79">
      <c r="A79" t="inlineStr">
        <is>
          <t>递延所得税负债</t>
        </is>
      </c>
      <c r="B79" s="4" t="n">
        <v>53010.65</v>
      </c>
      <c r="C79" s="4" t="n">
        <v>52241.43</v>
      </c>
      <c r="D79" s="4" t="n">
        <v>41545.88</v>
      </c>
    </row>
    <row r="80">
      <c r="A80" t="inlineStr">
        <is>
          <t>长期递延收益</t>
        </is>
      </c>
      <c r="B80" s="4" t="n">
        <v>107993.24</v>
      </c>
      <c r="C80" s="4" t="n">
        <v>98561.19</v>
      </c>
      <c r="D80" s="4" t="n">
        <v>94817.13</v>
      </c>
    </row>
    <row r="81">
      <c r="A81" t="inlineStr">
        <is>
          <t>其他非流动负债</t>
        </is>
      </c>
      <c r="B81" s="4" t="n">
        <v>0</v>
      </c>
      <c r="C81" s="4" t="n">
        <v>0</v>
      </c>
      <c r="D81" s="4" t="n">
        <v>0</v>
      </c>
    </row>
    <row r="82">
      <c r="A82" t="inlineStr">
        <is>
          <t>非流动负债合计</t>
        </is>
      </c>
      <c r="B82" s="4" t="n">
        <v>339560.77</v>
      </c>
      <c r="C82" s="4" t="n">
        <v>501409.59</v>
      </c>
      <c r="D82" s="4" t="n">
        <v>363798.68</v>
      </c>
    </row>
    <row r="83">
      <c r="A83" t="inlineStr">
        <is>
          <t>负债合计</t>
        </is>
      </c>
      <c r="B83" s="4" t="n">
        <v>1815190.39</v>
      </c>
      <c r="C83" s="4" t="n">
        <v>2124021.08</v>
      </c>
      <c r="D83" s="4" t="n">
        <v>2287325.5</v>
      </c>
    </row>
    <row r="84">
      <c r="A84" t="inlineStr">
        <is>
          <t>所有者权益</t>
        </is>
      </c>
      <c r="B84" t="inlineStr">
        <is>
          <t>所有者权益</t>
        </is>
      </c>
      <c r="C84" t="inlineStr">
        <is>
          <t>所有者权益</t>
        </is>
      </c>
      <c r="D84" t="inlineStr">
        <is>
          <t>所有者权益</t>
        </is>
      </c>
    </row>
    <row r="85">
      <c r="A85" t="inlineStr">
        <is>
          <t>实收资本(或股本)</t>
        </is>
      </c>
      <c r="B85" s="4" t="n">
        <v>296884.49</v>
      </c>
      <c r="C85" s="4" t="n">
        <v>288799.26</v>
      </c>
      <c r="D85" s="4" t="n">
        <v>298375.72</v>
      </c>
    </row>
    <row r="86">
      <c r="A86" t="inlineStr">
        <is>
          <t>资本公积</t>
        </is>
      </c>
      <c r="B86" s="4" t="n">
        <v>2840101.12</v>
      </c>
      <c r="C86" s="4" t="n">
        <v>2433776.4</v>
      </c>
      <c r="D86" s="4" t="n">
        <v>3307729.26</v>
      </c>
    </row>
    <row r="87">
      <c r="A87" t="inlineStr">
        <is>
          <t>减：库存股</t>
        </is>
      </c>
      <c r="B87" s="4" t="n">
        <v>315652.89</v>
      </c>
      <c r="C87" s="4" t="n">
        <v>225900.89</v>
      </c>
      <c r="D87" s="4" t="n">
        <v>384217.9</v>
      </c>
    </row>
    <row r="88">
      <c r="A88" t="inlineStr">
        <is>
          <t>其他综合收益</t>
        </is>
      </c>
      <c r="B88" s="4" t="n">
        <v>11230.56</v>
      </c>
      <c r="C88" s="4" t="n">
        <v>30088.87</v>
      </c>
      <c r="D88" s="4" t="n">
        <v>-14710.67</v>
      </c>
    </row>
    <row r="89">
      <c r="A89" t="inlineStr">
        <is>
          <t>专项储备</t>
        </is>
      </c>
      <c r="B89" s="4" t="n">
        <v>0</v>
      </c>
      <c r="C89" s="4" t="n">
        <v>0</v>
      </c>
      <c r="D89" s="4" t="n">
        <v>0</v>
      </c>
    </row>
    <row r="90">
      <c r="A90" t="inlineStr">
        <is>
          <t>盈余公积</t>
        </is>
      </c>
      <c r="B90" s="4" t="n">
        <v>102334.21</v>
      </c>
      <c r="C90" s="4" t="n">
        <v>135743.82</v>
      </c>
      <c r="D90" s="4" t="n">
        <v>149187.86</v>
      </c>
    </row>
    <row r="91">
      <c r="A91" t="inlineStr">
        <is>
          <t>一般风险准备</t>
        </is>
      </c>
      <c r="B91" s="4" t="n">
        <v>0</v>
      </c>
      <c r="C91" s="4" t="n">
        <v>0</v>
      </c>
      <c r="D91" s="4" t="n">
        <v>0</v>
      </c>
    </row>
    <row r="92">
      <c r="A92" t="inlineStr">
        <is>
          <t>未分配利润</t>
        </is>
      </c>
      <c r="B92" s="4" t="n">
        <v>2577347.9</v>
      </c>
      <c r="C92" s="4" t="n">
        <v>3200764.06</v>
      </c>
      <c r="D92" s="4" t="n">
        <v>4614864.76</v>
      </c>
    </row>
    <row r="93">
      <c r="A93" t="inlineStr">
        <is>
          <t>归属于母公司股东权益合计</t>
        </is>
      </c>
      <c r="B93" s="4" t="n">
        <v>5512245.39</v>
      </c>
      <c r="C93" s="4" t="n">
        <v>5863271.52</v>
      </c>
      <c r="D93" s="4" t="n">
        <v>7971229.02</v>
      </c>
    </row>
    <row r="94">
      <c r="A94" t="inlineStr">
        <is>
          <t>少数股东权益</t>
        </is>
      </c>
      <c r="B94" s="4" t="n">
        <v>39499.15</v>
      </c>
      <c r="C94" s="4" t="n">
        <v>45289.85</v>
      </c>
      <c r="D94" s="4" t="n">
        <v>53542.34</v>
      </c>
    </row>
    <row r="95">
      <c r="A95" t="inlineStr">
        <is>
          <t>所有者权益(或股东权益)合计</t>
        </is>
      </c>
      <c r="B95" s="4" t="n">
        <v>5551744.54</v>
      </c>
      <c r="C95" s="4" t="n">
        <v>5908561.36</v>
      </c>
      <c r="D95" s="4" t="n">
        <v>8024771.36</v>
      </c>
    </row>
    <row r="96">
      <c r="A96" t="inlineStr">
        <is>
          <t>负债和所有者权益(或股东权益)总计</t>
        </is>
      </c>
      <c r="B96" s="4" t="n">
        <v>7366934.93</v>
      </c>
      <c r="C96" s="4" t="n">
        <v>8032582.44</v>
      </c>
      <c r="D96" s="4" t="n">
        <v>10312096.86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3.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项目</t>
        </is>
      </c>
      <c r="B1" s="1" t="inlineStr">
        <is>
          <t>2023年金额</t>
        </is>
      </c>
      <c r="C1" t="inlineStr">
        <is>
          <t>2024年金额</t>
        </is>
      </c>
      <c r="D1" t="inlineStr">
        <is>
          <t>2025年金额</t>
        </is>
      </c>
    </row>
    <row r="2">
      <c r="A2" t="inlineStr">
        <is>
          <t>项目</t>
        </is>
      </c>
      <c r="B2" t="inlineStr">
        <is>
          <t>金额</t>
        </is>
      </c>
      <c r="C2" t="inlineStr">
        <is>
          <t>金额</t>
        </is>
      </c>
      <c r="D2" t="inlineStr">
        <is>
          <t>金额</t>
        </is>
      </c>
    </row>
    <row r="3">
      <c r="A3" t="inlineStr">
        <is>
          <t>报表日期</t>
        </is>
      </c>
      <c r="B3" s="2" t="n">
        <v>45291</v>
      </c>
      <c r="C3" s="2" t="n">
        <v>45657</v>
      </c>
      <c r="D3" s="2" t="n">
        <v>46022</v>
      </c>
    </row>
    <row r="4">
      <c r="A4" t="inlineStr">
        <is>
          <t>一、营业总收入</t>
        </is>
      </c>
      <c r="B4" s="4" t="n">
        <v>4034080.69</v>
      </c>
      <c r="C4" s="4" t="n">
        <v>3924143.14</v>
      </c>
      <c r="D4" s="4" t="n">
        <v>4545616.58</v>
      </c>
    </row>
    <row r="5">
      <c r="A5" t="inlineStr">
        <is>
          <t>营业收入</t>
        </is>
      </c>
      <c r="B5" s="4" t="n">
        <v>4034080.69</v>
      </c>
      <c r="C5" s="4" t="n">
        <v>3924143.14</v>
      </c>
      <c r="D5" s="4" t="n">
        <v>4545616.58</v>
      </c>
    </row>
    <row r="6">
      <c r="A6" t="inlineStr">
        <is>
          <t>二、营业总成本</t>
        </is>
      </c>
      <c r="B6" s="4" t="n">
        <v>2870859.08</v>
      </c>
      <c r="C6" s="4" t="n">
        <v>2734226.82</v>
      </c>
      <c r="D6" s="4" t="n">
        <v>2914815.48</v>
      </c>
    </row>
    <row r="7">
      <c r="A7" t="inlineStr">
        <is>
          <t>营业成本</t>
        </is>
      </c>
      <c r="B7" s="4" t="n">
        <v>2372879.96</v>
      </c>
      <c r="C7" s="4" t="n">
        <v>2296451.55</v>
      </c>
      <c r="D7" s="4" t="n">
        <v>2380143.46</v>
      </c>
    </row>
    <row r="8">
      <c r="A8" t="inlineStr">
        <is>
          <t>营业税金及附加</t>
        </is>
      </c>
      <c r="B8" s="4" t="n">
        <v>29747.94</v>
      </c>
      <c r="C8" s="4" t="n">
        <v>30118.1</v>
      </c>
      <c r="D8" s="4" t="n">
        <v>36147.77</v>
      </c>
    </row>
    <row r="9">
      <c r="A9" t="inlineStr">
        <is>
          <t>销售费用</t>
        </is>
      </c>
      <c r="B9" s="4" t="n">
        <v>70102.97</v>
      </c>
      <c r="C9" s="4" t="n">
        <v>74538.84</v>
      </c>
      <c r="D9" s="4" t="n">
        <v>80686.74000000001</v>
      </c>
    </row>
    <row r="10">
      <c r="A10" t="inlineStr">
        <is>
          <t>管理费用</t>
        </is>
      </c>
      <c r="B10" s="4" t="n">
        <v>287877.08</v>
      </c>
      <c r="C10" s="4" t="n">
        <v>287934.2</v>
      </c>
      <c r="D10" s="4" t="n">
        <v>266073.1</v>
      </c>
    </row>
    <row r="11">
      <c r="A11" t="inlineStr">
        <is>
          <t>财务费用</t>
        </is>
      </c>
      <c r="B11" s="4" t="n">
        <v>-33811.92</v>
      </c>
      <c r="C11" s="4" t="n">
        <v>-78668.36</v>
      </c>
      <c r="D11" s="4" t="n">
        <v>39819.1</v>
      </c>
    </row>
    <row r="12">
      <c r="A12" t="inlineStr">
        <is>
          <t>研发费用</t>
        </is>
      </c>
      <c r="B12" s="4" t="n">
        <v>144063.04</v>
      </c>
      <c r="C12" s="4" t="n">
        <v>123852.5</v>
      </c>
      <c r="D12" s="4" t="n">
        <v>111945.3</v>
      </c>
    </row>
    <row r="13">
      <c r="A13" t="inlineStr">
        <is>
          <t>资产减值损失</t>
        </is>
      </c>
      <c r="B13" s="4" t="n">
        <v>0</v>
      </c>
      <c r="C13" s="4" t="n">
        <v>0</v>
      </c>
      <c r="D13" s="4" t="n">
        <v>0</v>
      </c>
    </row>
    <row r="14">
      <c r="A14" t="inlineStr">
        <is>
          <t>公允价值变动收益</t>
        </is>
      </c>
      <c r="B14" s="4" t="n">
        <v>-3780.91</v>
      </c>
      <c r="C14" s="4" t="n">
        <v>18695.76</v>
      </c>
      <c r="D14" s="4" t="n">
        <v>-13709.79</v>
      </c>
    </row>
    <row r="15">
      <c r="A15" t="inlineStr">
        <is>
          <t>投资收益</t>
        </is>
      </c>
      <c r="B15" s="4" t="n">
        <v>23384.9</v>
      </c>
      <c r="C15" s="4" t="n">
        <v>60416.24</v>
      </c>
      <c r="D15" s="4" t="n">
        <v>858801.71</v>
      </c>
    </row>
    <row r="16">
      <c r="A16" t="inlineStr">
        <is>
          <t>其中:对联营企业和合营企业的投资收益</t>
        </is>
      </c>
      <c r="B16" s="4" t="n">
        <v>-6755.99</v>
      </c>
      <c r="C16" s="4" t="n">
        <v>24506.47</v>
      </c>
      <c r="D16" s="4" t="n">
        <v>45258.24</v>
      </c>
    </row>
    <row r="17">
      <c r="A17" t="inlineStr">
        <is>
          <t>汇兑收益</t>
        </is>
      </c>
      <c r="B17" s="4" t="n">
        <v>0</v>
      </c>
      <c r="C17" s="4" t="n">
        <v>0</v>
      </c>
      <c r="D17" s="4" t="n">
        <v>0</v>
      </c>
    </row>
    <row r="18">
      <c r="A18" t="inlineStr">
        <is>
          <t>三、营业利润</t>
        </is>
      </c>
      <c r="B18" s="4" t="n">
        <v>1187228.59</v>
      </c>
      <c r="C18" s="4" t="n">
        <v>1158017.47</v>
      </c>
      <c r="D18" s="4" t="n">
        <v>2393008.38</v>
      </c>
    </row>
    <row r="19">
      <c r="A19" t="inlineStr">
        <is>
          <t>加:营业外收入</t>
        </is>
      </c>
      <c r="B19" s="4" t="n">
        <v>1659.63</v>
      </c>
      <c r="C19" s="4" t="n">
        <v>2225.48</v>
      </c>
      <c r="D19" s="4" t="n">
        <v>3139.83</v>
      </c>
    </row>
    <row r="20">
      <c r="A20" t="inlineStr">
        <is>
          <t>减：营业外支出</t>
        </is>
      </c>
      <c r="B20" s="4" t="n">
        <v>5689.12</v>
      </c>
      <c r="C20" s="4" t="n">
        <v>6261.78</v>
      </c>
      <c r="D20" s="4" t="n">
        <v>5533.09</v>
      </c>
    </row>
    <row r="21">
      <c r="A21" t="inlineStr">
        <is>
          <t>其中：非流动资产处置损失</t>
        </is>
      </c>
      <c r="B21" s="4" t="n">
        <v>0</v>
      </c>
      <c r="C21" s="4" t="n">
        <v>0</v>
      </c>
      <c r="D21" s="4" t="n">
        <v>0</v>
      </c>
    </row>
    <row r="22">
      <c r="A22" t="inlineStr">
        <is>
          <t>四、利润总额</t>
        </is>
      </c>
      <c r="B22" s="4" t="n">
        <v>1183199.1</v>
      </c>
      <c r="C22" s="4" t="n">
        <v>1153981.16</v>
      </c>
      <c r="D22" s="4" t="n">
        <v>2390615.12</v>
      </c>
    </row>
    <row r="23">
      <c r="A23" t="inlineStr">
        <is>
          <t>减：所得税费用</t>
        </is>
      </c>
      <c r="B23" s="4" t="n">
        <v>213173.1</v>
      </c>
      <c r="C23" s="4" t="n">
        <v>197207.21</v>
      </c>
      <c r="D23" s="4" t="n">
        <v>457308.54</v>
      </c>
    </row>
    <row r="24">
      <c r="A24" t="inlineStr">
        <is>
          <t>五、净利润</t>
        </is>
      </c>
      <c r="B24" s="4" t="n">
        <v>970026</v>
      </c>
      <c r="C24" s="4" t="n">
        <v>956773.95</v>
      </c>
      <c r="D24" s="4" t="n">
        <v>1933306.59</v>
      </c>
    </row>
    <row r="25">
      <c r="A25" t="inlineStr">
        <is>
          <t>归属于母公司所有者的净利润</t>
        </is>
      </c>
      <c r="B25" s="4" t="n">
        <v>960674.91</v>
      </c>
      <c r="C25" s="4" t="n">
        <v>945030.84</v>
      </c>
      <c r="D25" s="4" t="n">
        <v>1915058.24</v>
      </c>
    </row>
    <row r="26">
      <c r="A26" t="inlineStr">
        <is>
          <t>少数股东损益</t>
        </is>
      </c>
      <c r="B26" s="4" t="n">
        <v>9351.09</v>
      </c>
      <c r="C26" s="4" t="n">
        <v>11743.11</v>
      </c>
      <c r="D26" s="4" t="n">
        <v>18248.35</v>
      </c>
    </row>
    <row r="27">
      <c r="A27" t="inlineStr">
        <is>
          <t>六、每股收益</t>
        </is>
      </c>
      <c r="B27" s="4" t="inlineStr">
        <is>
          <t>nan</t>
        </is>
      </c>
      <c r="C27" s="4" t="inlineStr">
        <is>
          <t>nan</t>
        </is>
      </c>
      <c r="D27" s="4" t="inlineStr">
        <is>
          <t>nan</t>
        </is>
      </c>
    </row>
    <row r="28">
      <c r="A28" t="inlineStr">
        <is>
          <t>基本每股收益(元/股)</t>
        </is>
      </c>
      <c r="B28" s="4" t="n">
        <v>3.27</v>
      </c>
      <c r="C28" s="4" t="n">
        <v>3.28</v>
      </c>
      <c r="D28" s="4" t="n">
        <v>6.7</v>
      </c>
    </row>
    <row r="29">
      <c r="A29" t="inlineStr">
        <is>
          <t>稀释每股收益(元/股)</t>
        </is>
      </c>
      <c r="B29" s="4" t="n">
        <v>3.24</v>
      </c>
      <c r="C29" s="4" t="n">
        <v>3.26</v>
      </c>
      <c r="D29" s="4" t="n">
        <v>6.61</v>
      </c>
    </row>
    <row r="30">
      <c r="A30" t="inlineStr">
        <is>
          <t>七、其他综合收益</t>
        </is>
      </c>
      <c r="B30" s="4" t="n">
        <v>8692.09</v>
      </c>
      <c r="C30" s="4" t="n">
        <v>18571.89</v>
      </c>
      <c r="D30" s="4" t="n">
        <v>-44977.69</v>
      </c>
    </row>
    <row r="31">
      <c r="A31" t="inlineStr">
        <is>
          <t>八、综合收益总额</t>
        </is>
      </c>
      <c r="B31" s="4" t="n">
        <v>978718.09</v>
      </c>
      <c r="C31" s="4" t="n">
        <v>975345.84</v>
      </c>
      <c r="D31" s="4" t="n">
        <v>1888328.89</v>
      </c>
    </row>
    <row r="32">
      <c r="A32" t="inlineStr">
        <is>
          <t>归属于母公司所有者的综合收益总额</t>
        </is>
      </c>
      <c r="B32" s="4" t="n">
        <v>969505.24</v>
      </c>
      <c r="C32" s="4" t="n">
        <v>963889.15</v>
      </c>
      <c r="D32" s="4" t="n">
        <v>1870258.7</v>
      </c>
    </row>
    <row r="33">
      <c r="A33" t="inlineStr">
        <is>
          <t>归属于少数股东的综合收益总额</t>
        </is>
      </c>
      <c r="B33" s="4" t="n">
        <v>9212.85</v>
      </c>
      <c r="C33" s="4" t="n">
        <v>11456.69</v>
      </c>
      <c r="D33" s="4" t="n">
        <v>18070.19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3.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项目</t>
        </is>
      </c>
      <c r="B1" s="1" t="inlineStr">
        <is>
          <t>2023年金额</t>
        </is>
      </c>
      <c r="C1" t="inlineStr">
        <is>
          <t>2024年金额</t>
        </is>
      </c>
      <c r="D1" t="inlineStr">
        <is>
          <t>2025年金额</t>
        </is>
      </c>
    </row>
    <row r="2">
      <c r="A2" t="inlineStr">
        <is>
          <t>项目</t>
        </is>
      </c>
      <c r="B2" t="inlineStr">
        <is>
          <t>金额</t>
        </is>
      </c>
      <c r="C2" t="inlineStr">
        <is>
          <t>金额</t>
        </is>
      </c>
      <c r="D2" t="inlineStr">
        <is>
          <t>金额</t>
        </is>
      </c>
    </row>
    <row r="3">
      <c r="A3" t="inlineStr">
        <is>
          <t>报表日期</t>
        </is>
      </c>
      <c r="B3" s="2" t="n">
        <v>45291</v>
      </c>
      <c r="C3" s="2" t="n">
        <v>45657</v>
      </c>
      <c r="D3" s="2" t="n">
        <v>46022</v>
      </c>
    </row>
    <row r="4">
      <c r="A4" t="inlineStr">
        <is>
          <t>一、经营活动产生的现金流量</t>
        </is>
      </c>
      <c r="B4" t="inlineStr">
        <is>
          <t>一、经营活动产生的现金流量</t>
        </is>
      </c>
      <c r="C4" t="inlineStr">
        <is>
          <t>一、经营活动产生的现金流量</t>
        </is>
      </c>
      <c r="D4" t="inlineStr">
        <is>
          <t>一、经营活动产生的现金流量</t>
        </is>
      </c>
    </row>
    <row r="5">
      <c r="A5" t="inlineStr">
        <is>
          <t>销售商品、提供劳务收到的现金</t>
        </is>
      </c>
      <c r="B5" s="4" t="n">
        <v>3935849.19</v>
      </c>
      <c r="C5" s="4" t="n">
        <v>4102317.15</v>
      </c>
      <c r="D5" s="4" t="n">
        <v>4909138.21</v>
      </c>
    </row>
    <row r="6">
      <c r="A6" t="inlineStr">
        <is>
          <t>收到的税费返还</t>
        </is>
      </c>
      <c r="B6" s="4" t="n">
        <v>168720.68</v>
      </c>
      <c r="C6" s="4" t="n">
        <v>142609.88</v>
      </c>
      <c r="D6" s="4" t="n">
        <v>163409.35</v>
      </c>
    </row>
    <row r="7">
      <c r="A7" t="inlineStr">
        <is>
          <t>收到的其他与经营活动有关的现金</t>
        </is>
      </c>
      <c r="B7" s="4" t="n">
        <v>122712.73</v>
      </c>
      <c r="C7" s="4" t="n">
        <v>101593.84</v>
      </c>
      <c r="D7" s="4" t="n">
        <v>102708.77</v>
      </c>
    </row>
    <row r="8">
      <c r="A8" t="inlineStr">
        <is>
          <t>经营活动现金流入小计</t>
        </is>
      </c>
      <c r="B8" s="4" t="n">
        <v>4227282.6</v>
      </c>
      <c r="C8" s="4" t="n">
        <v>4346520.87</v>
      </c>
      <c r="D8" s="4" t="n">
        <v>5175256.33</v>
      </c>
    </row>
    <row r="9">
      <c r="A9" t="inlineStr">
        <is>
          <t>购买商品、接受劳务支付的现金</t>
        </is>
      </c>
      <c r="B9" s="4" t="n">
        <v>1418850.46</v>
      </c>
      <c r="C9" s="4" t="n">
        <v>1507565.64</v>
      </c>
      <c r="D9" s="4" t="n">
        <v>1840382.45</v>
      </c>
    </row>
    <row r="10">
      <c r="A10" t="inlineStr">
        <is>
          <t>支付给职工以及为职工支付的现金</t>
        </is>
      </c>
      <c r="B10" s="4" t="n">
        <v>1069245.83</v>
      </c>
      <c r="C10" s="4" t="n">
        <v>1075265.16</v>
      </c>
      <c r="D10" s="4" t="n">
        <v>1045093.59</v>
      </c>
    </row>
    <row r="11">
      <c r="A11" t="inlineStr">
        <is>
          <t>支付的各项税费</t>
        </is>
      </c>
      <c r="B11" s="4" t="n">
        <v>229095.99</v>
      </c>
      <c r="C11" s="4" t="n">
        <v>313183.69</v>
      </c>
      <c r="D11" s="4" t="n">
        <v>375518.99</v>
      </c>
    </row>
    <row r="12">
      <c r="A12" t="inlineStr">
        <is>
          <t>支付的其他与经营活动有关的现金</t>
        </is>
      </c>
      <c r="B12" s="4" t="n">
        <v>171399.14</v>
      </c>
      <c r="C12" s="4" t="n">
        <v>209854.89</v>
      </c>
      <c r="D12" s="4" t="n">
        <v>193945.14</v>
      </c>
    </row>
    <row r="13">
      <c r="A13" t="inlineStr">
        <is>
          <t>经营活动现金流出小计</t>
        </is>
      </c>
      <c r="B13" s="4" t="n">
        <v>2888591.42</v>
      </c>
      <c r="C13" s="4" t="n">
        <v>3105869.39</v>
      </c>
      <c r="D13" s="4" t="n">
        <v>3454940.17</v>
      </c>
    </row>
    <row r="14">
      <c r="A14" t="inlineStr">
        <is>
          <t>经营活动产生的现金流量净额</t>
        </is>
      </c>
      <c r="B14" s="4" t="n">
        <v>1338691.18</v>
      </c>
      <c r="C14" s="4" t="n">
        <v>1240651.48</v>
      </c>
      <c r="D14" s="4" t="n">
        <v>1720316.16</v>
      </c>
    </row>
    <row r="15">
      <c r="A15" t="inlineStr">
        <is>
          <t>二、投资活动产生的现金流量</t>
        </is>
      </c>
      <c r="B15" t="inlineStr">
        <is>
          <t>二、投资活动产生的现金流量</t>
        </is>
      </c>
      <c r="C15" t="inlineStr">
        <is>
          <t>二、投资活动产生的现金流量</t>
        </is>
      </c>
      <c r="D15" t="inlineStr">
        <is>
          <t>二、投资活动产生的现金流量</t>
        </is>
      </c>
    </row>
    <row r="16">
      <c r="A16" t="inlineStr">
        <is>
          <t>收回投资所收到的现金</t>
        </is>
      </c>
      <c r="B16" s="4" t="n">
        <v>260026.68</v>
      </c>
      <c r="C16" s="4" t="n">
        <v>1149006.96</v>
      </c>
      <c r="D16" s="4" t="n">
        <v>2100729.17</v>
      </c>
    </row>
    <row r="17">
      <c r="A17" t="inlineStr">
        <is>
          <t>取得投资收益所收到的现金</t>
        </is>
      </c>
      <c r="B17" s="4" t="n">
        <v>28306.05</v>
      </c>
      <c r="C17" s="4" t="n">
        <v>48207.54</v>
      </c>
      <c r="D17" s="4" t="n">
        <v>48269.75</v>
      </c>
    </row>
    <row r="18">
      <c r="A18" t="inlineStr">
        <is>
          <t>处置固定资产、无形资产和其他长期资产所收回的现金净额</t>
        </is>
      </c>
      <c r="B18" s="4" t="n">
        <v>1611.9</v>
      </c>
      <c r="C18" s="4" t="n">
        <v>1583.75</v>
      </c>
      <c r="D18" s="4" t="n">
        <v>7511.89</v>
      </c>
    </row>
    <row r="19">
      <c r="A19" t="inlineStr">
        <is>
          <t>处置子公司及其他营业单位收到的现金净额</t>
        </is>
      </c>
      <c r="B19" s="4" t="n">
        <v>0</v>
      </c>
      <c r="C19" s="4" t="n">
        <v>0</v>
      </c>
      <c r="D19" s="4" t="n">
        <v>290272.79</v>
      </c>
    </row>
    <row r="20">
      <c r="A20" t="inlineStr">
        <is>
          <t>收到的其他与投资活动有关的现金</t>
        </is>
      </c>
      <c r="B20" s="4" t="n">
        <v>0</v>
      </c>
      <c r="C20" s="4" t="n">
        <v>0</v>
      </c>
      <c r="D20" s="4" t="n">
        <v>0</v>
      </c>
    </row>
    <row r="21">
      <c r="A21" t="inlineStr">
        <is>
          <t>投资活动现金流入小计</t>
        </is>
      </c>
      <c r="B21" s="4" t="n">
        <v>289944.62</v>
      </c>
      <c r="C21" s="4" t="n">
        <v>1198798.26</v>
      </c>
      <c r="D21" s="4" t="n">
        <v>2446783.6</v>
      </c>
    </row>
    <row r="22">
      <c r="A22" t="inlineStr">
        <is>
          <t>购建固定资产、无形资产和其他长期资产所支付的现金</t>
        </is>
      </c>
      <c r="B22" s="4" t="n">
        <v>551655.88</v>
      </c>
      <c r="C22" s="4" t="n">
        <v>400349.25</v>
      </c>
      <c r="D22" s="4" t="n">
        <v>553815.08</v>
      </c>
    </row>
    <row r="23">
      <c r="A23" t="inlineStr">
        <is>
          <t>投资所支付的现金</t>
        </is>
      </c>
      <c r="B23" s="4" t="n">
        <v>492132.91</v>
      </c>
      <c r="C23" s="4" t="n">
        <v>1350266.71</v>
      </c>
      <c r="D23" s="4" t="n">
        <v>2087479.51</v>
      </c>
    </row>
    <row r="24">
      <c r="A24" t="inlineStr">
        <is>
          <t>取得子公司及其他营业单位支付的现金净额</t>
        </is>
      </c>
      <c r="B24" s="4" t="n">
        <v>2209.18</v>
      </c>
      <c r="C24" s="4" t="n">
        <v>0</v>
      </c>
      <c r="D24" s="4" t="n">
        <v>0</v>
      </c>
    </row>
    <row r="25">
      <c r="A25" t="inlineStr">
        <is>
          <t>支付的其他与投资活动有关的现金</t>
        </is>
      </c>
      <c r="B25" s="4" t="n">
        <v>0</v>
      </c>
      <c r="C25" s="4" t="n">
        <v>0</v>
      </c>
      <c r="D25" s="4" t="n">
        <v>0</v>
      </c>
    </row>
    <row r="26">
      <c r="A26" t="inlineStr">
        <is>
          <t>投资活动现金流出小计</t>
        </is>
      </c>
      <c r="B26" s="4" t="n">
        <v>1045997.98</v>
      </c>
      <c r="C26" s="4" t="n">
        <v>1750615.97</v>
      </c>
      <c r="D26" s="4" t="n">
        <v>2641294.59</v>
      </c>
    </row>
    <row r="27">
      <c r="A27" t="inlineStr">
        <is>
          <t>投资活动产生的现金流量净额</t>
        </is>
      </c>
      <c r="B27" s="4" t="n">
        <v>-756053.36</v>
      </c>
      <c r="C27" s="4" t="n">
        <v>-551817.71</v>
      </c>
      <c r="D27" s="4" t="n">
        <v>-194510.99</v>
      </c>
    </row>
    <row r="28">
      <c r="A28" t="inlineStr">
        <is>
          <t>三、筹资活动产生的现金流量</t>
        </is>
      </c>
      <c r="B28" t="inlineStr">
        <is>
          <t>三、筹资活动产生的现金流量</t>
        </is>
      </c>
      <c r="C28" t="inlineStr">
        <is>
          <t>三、筹资活动产生的现金流量</t>
        </is>
      </c>
      <c r="D28" t="inlineStr">
        <is>
          <t>三、筹资活动产生的现金流量</t>
        </is>
      </c>
    </row>
    <row r="29">
      <c r="A29" t="inlineStr">
        <is>
          <t>吸收投资收到的现金</t>
        </is>
      </c>
      <c r="B29" s="4" t="n">
        <v>24663.61</v>
      </c>
      <c r="C29" s="4" t="n">
        <v>19642.79</v>
      </c>
      <c r="D29" s="4" t="n">
        <v>704582.35</v>
      </c>
    </row>
    <row r="30">
      <c r="A30" t="inlineStr">
        <is>
          <t>其中：子公司吸收少数股东投资收到的现金</t>
        </is>
      </c>
      <c r="B30" s="4" t="n">
        <v>0</v>
      </c>
      <c r="C30" s="4" t="n">
        <v>0</v>
      </c>
      <c r="D30" s="4" t="n">
        <v>0</v>
      </c>
    </row>
    <row r="31">
      <c r="A31" t="inlineStr">
        <is>
          <t>取得借款收到的现金</t>
        </is>
      </c>
      <c r="B31" s="4" t="n">
        <v>684397.52</v>
      </c>
      <c r="C31" s="4" t="n">
        <v>826842.73</v>
      </c>
      <c r="D31" s="4" t="n">
        <v>1409121.89</v>
      </c>
    </row>
    <row r="32">
      <c r="A32" t="inlineStr">
        <is>
          <t>发行债券收到的现金</t>
        </is>
      </c>
      <c r="B32" s="4" t="n">
        <v>0</v>
      </c>
      <c r="C32" s="4" t="n">
        <v>352149.73</v>
      </c>
      <c r="D32" s="4" t="n">
        <v>0</v>
      </c>
    </row>
    <row r="33">
      <c r="A33" t="inlineStr">
        <is>
          <t>收到其他与筹资活动有关的现金</t>
        </is>
      </c>
      <c r="B33" s="4" t="n">
        <v>0</v>
      </c>
      <c r="C33" s="4" t="n">
        <v>0</v>
      </c>
      <c r="D33" s="4" t="n">
        <v>0</v>
      </c>
    </row>
    <row r="34">
      <c r="A34" t="inlineStr">
        <is>
          <t>筹资活动现金流入小计</t>
        </is>
      </c>
      <c r="B34" s="4" t="n">
        <v>709061.13</v>
      </c>
      <c r="C34" s="4" t="n">
        <v>1198635.25</v>
      </c>
      <c r="D34" s="4" t="n">
        <v>2113704.25</v>
      </c>
    </row>
    <row r="35">
      <c r="A35" t="inlineStr">
        <is>
          <t>偿还债务支付的现金</t>
        </is>
      </c>
      <c r="B35" s="4" t="n">
        <v>666576.05</v>
      </c>
      <c r="C35" s="4" t="n">
        <v>847015.98</v>
      </c>
      <c r="D35" s="4" t="n">
        <v>1052862.08</v>
      </c>
    </row>
    <row r="36">
      <c r="A36" t="inlineStr">
        <is>
          <t>分配股利、利润或偿付利息所支付的现金</t>
        </is>
      </c>
      <c r="B36" s="4" t="n">
        <v>275579.22</v>
      </c>
      <c r="C36" s="4" t="n">
        <v>308487.66</v>
      </c>
      <c r="D36" s="4" t="n">
        <v>499210.09</v>
      </c>
    </row>
    <row r="37">
      <c r="A37" t="inlineStr">
        <is>
          <t>其中：子公司支付给少数股东的股利、利润</t>
        </is>
      </c>
      <c r="B37" s="4" t="n">
        <v>0</v>
      </c>
      <c r="C37" s="4" t="n">
        <v>0</v>
      </c>
      <c r="D37" s="4" t="n">
        <v>2351.83</v>
      </c>
    </row>
    <row r="38">
      <c r="A38" t="inlineStr">
        <is>
          <t>支付其他与筹资活动有关的现金</t>
        </is>
      </c>
      <c r="B38" s="4" t="n">
        <v>161044.22</v>
      </c>
      <c r="C38" s="4" t="n">
        <v>426350.68</v>
      </c>
      <c r="D38" s="4" t="n">
        <v>449277.97</v>
      </c>
    </row>
    <row r="39">
      <c r="A39" t="inlineStr">
        <is>
          <t>筹资活动现金流出小计</t>
        </is>
      </c>
      <c r="B39" s="4" t="n">
        <v>1103199.49</v>
      </c>
      <c r="C39" s="4" t="n">
        <v>1581854.32</v>
      </c>
      <c r="D39" s="4" t="n">
        <v>2001350.14</v>
      </c>
    </row>
    <row r="40">
      <c r="A40" t="inlineStr">
        <is>
          <t>筹资活动产生的现金流量净额</t>
        </is>
      </c>
      <c r="B40" s="4" t="n">
        <v>-394138.37</v>
      </c>
      <c r="C40" s="4" t="n">
        <v>-383219.06</v>
      </c>
      <c r="D40" s="4" t="n">
        <v>112354.1</v>
      </c>
    </row>
    <row r="41">
      <c r="A41" t="inlineStr">
        <is>
          <t>四、汇率变动对现金及现金等价物的影响</t>
        </is>
      </c>
      <c r="B41" s="4" t="n">
        <v>13214</v>
      </c>
      <c r="C41" s="4" t="n">
        <v>38752.53</v>
      </c>
      <c r="D41" s="4" t="n">
        <v>-37047.34</v>
      </c>
    </row>
    <row r="42">
      <c r="A42" t="inlineStr">
        <is>
          <t>五、现金及现金等价物净增加额</t>
        </is>
      </c>
      <c r="B42" s="4" t="n">
        <v>201713.45</v>
      </c>
      <c r="C42" s="4" t="n">
        <v>344367.24</v>
      </c>
      <c r="D42" s="4" t="n">
        <v>1601111.93</v>
      </c>
    </row>
    <row r="43">
      <c r="A43" t="inlineStr">
        <is>
          <t>加:期初现金及现金等价物余额</t>
        </is>
      </c>
      <c r="B43" s="4" t="n">
        <v>798390.4300000001</v>
      </c>
      <c r="C43" s="4" t="n">
        <v>1000103.88</v>
      </c>
      <c r="D43" s="4" t="n">
        <v>1344471.12</v>
      </c>
    </row>
    <row r="44">
      <c r="A44" t="inlineStr">
        <is>
          <t>六、期末现金及现金等价物余额</t>
        </is>
      </c>
      <c r="B44" s="4" t="n">
        <v>1000103.88</v>
      </c>
      <c r="C44" s="4" t="n">
        <v>1344471.12</v>
      </c>
      <c r="D44" s="4" t="n">
        <v>2945583.05</v>
      </c>
    </row>
    <row r="45">
      <c r="A45" t="inlineStr">
        <is>
          <t>附注</t>
        </is>
      </c>
      <c r="B45" t="inlineStr">
        <is>
          <t>附注</t>
        </is>
      </c>
      <c r="C45" t="inlineStr">
        <is>
          <t>附注</t>
        </is>
      </c>
      <c r="D45" t="inlineStr">
        <is>
          <t>附注</t>
        </is>
      </c>
    </row>
    <row r="46">
      <c r="A46" t="inlineStr">
        <is>
          <t>净利润</t>
        </is>
      </c>
      <c r="B46" s="4" t="n">
        <v>970026</v>
      </c>
      <c r="C46" s="4" t="n">
        <v>956773.95</v>
      </c>
      <c r="D46" s="4" t="n">
        <v>1933306.59</v>
      </c>
    </row>
    <row r="47">
      <c r="A47" t="inlineStr">
        <is>
          <t>少数股东权益</t>
        </is>
      </c>
      <c r="B47" s="4" t="n">
        <v>0</v>
      </c>
      <c r="C47" s="4" t="n">
        <v>0</v>
      </c>
      <c r="D47" s="4" t="n">
        <v>0</v>
      </c>
    </row>
    <row r="48">
      <c r="A48" t="inlineStr">
        <is>
          <t>未确认的投资损失</t>
        </is>
      </c>
      <c r="B48" s="4" t="n">
        <v>0</v>
      </c>
      <c r="C48" s="4" t="n">
        <v>0</v>
      </c>
      <c r="D48" s="4" t="n">
        <v>0</v>
      </c>
    </row>
    <row r="49">
      <c r="A49" t="inlineStr">
        <is>
          <t>资产减值准备</t>
        </is>
      </c>
      <c r="B49" s="4" t="n">
        <v>15650.89</v>
      </c>
      <c r="C49" s="4" t="n">
        <v>123625.8</v>
      </c>
      <c r="D49" s="4" t="n">
        <v>54155.6</v>
      </c>
    </row>
    <row r="50">
      <c r="A50" t="inlineStr">
        <is>
          <t>固定资产折旧、油气资产折耗、生产性物资折旧</t>
        </is>
      </c>
      <c r="B50" s="4" t="n">
        <v>190159.61</v>
      </c>
      <c r="C50" s="4" t="n">
        <v>237231.11</v>
      </c>
      <c r="D50" s="4" t="n">
        <v>316455.73</v>
      </c>
    </row>
    <row r="51">
      <c r="A51" t="inlineStr">
        <is>
          <t>无形资产摊销</t>
        </is>
      </c>
      <c r="B51" s="4" t="n">
        <v>15786.15</v>
      </c>
      <c r="C51" s="4" t="n">
        <v>16453.35</v>
      </c>
      <c r="D51" s="4" t="n">
        <v>13241.4</v>
      </c>
    </row>
    <row r="52">
      <c r="A52" t="inlineStr">
        <is>
          <t>长期待摊费用摊销</t>
        </is>
      </c>
      <c r="B52" s="4" t="n">
        <v>22828.05</v>
      </c>
      <c r="C52" s="4" t="n">
        <v>23165.74</v>
      </c>
      <c r="D52" s="4" t="n">
        <v>8961.02</v>
      </c>
    </row>
    <row r="53">
      <c r="A53" t="inlineStr">
        <is>
          <t>待摊费用的减少</t>
        </is>
      </c>
      <c r="B53" s="4" t="n">
        <v>0</v>
      </c>
      <c r="C53" s="4" t="n">
        <v>0</v>
      </c>
      <c r="D53" s="4" t="n">
        <v>0</v>
      </c>
    </row>
    <row r="54">
      <c r="A54" t="inlineStr">
        <is>
          <t>预提费用的增加</t>
        </is>
      </c>
      <c r="B54" s="4" t="n">
        <v>0</v>
      </c>
      <c r="C54" s="4" t="n">
        <v>0</v>
      </c>
      <c r="D54" s="4" t="n">
        <v>0</v>
      </c>
    </row>
    <row r="55">
      <c r="A55" t="inlineStr">
        <is>
          <t>处置固定资产、无形资产和其他长期资产的损失</t>
        </is>
      </c>
      <c r="B55" s="4" t="n">
        <v>3345</v>
      </c>
      <c r="C55" s="4" t="n">
        <v>3606.34</v>
      </c>
      <c r="D55" s="4" t="n">
        <v>5806.7</v>
      </c>
    </row>
    <row r="56">
      <c r="A56" t="inlineStr">
        <is>
          <t>固定资产报废损失</t>
        </is>
      </c>
      <c r="B56" s="4" t="n">
        <v>1177.87</v>
      </c>
      <c r="C56" s="4" t="n">
        <v>623.42</v>
      </c>
      <c r="D56" s="4" t="n">
        <v>709.41</v>
      </c>
    </row>
    <row r="57">
      <c r="A57" t="inlineStr">
        <is>
          <t>公允价值变动损失</t>
        </is>
      </c>
      <c r="B57" s="4" t="n">
        <v>3780.91</v>
      </c>
      <c r="C57" s="4" t="n">
        <v>-18695.76</v>
      </c>
      <c r="D57" s="4" t="n">
        <v>13709.79</v>
      </c>
    </row>
    <row r="58">
      <c r="A58" t="inlineStr">
        <is>
          <t>递延收益增加（减：减少）</t>
        </is>
      </c>
      <c r="B58" s="4" t="n">
        <v>0</v>
      </c>
      <c r="C58" s="4" t="n">
        <v>0</v>
      </c>
      <c r="D58" s="4" t="n">
        <v>0</v>
      </c>
    </row>
    <row r="59">
      <c r="A59" t="inlineStr">
        <is>
          <t>预计负债</t>
        </is>
      </c>
      <c r="B59" s="4" t="n">
        <v>0</v>
      </c>
      <c r="C59" s="4" t="n">
        <v>0</v>
      </c>
      <c r="D59" s="4" t="n">
        <v>0</v>
      </c>
    </row>
    <row r="60">
      <c r="A60" t="inlineStr">
        <is>
          <t>财务费用</t>
        </is>
      </c>
      <c r="B60" s="4" t="n">
        <v>1322.31</v>
      </c>
      <c r="C60" s="4" t="n">
        <v>-42803.34</v>
      </c>
      <c r="D60" s="4" t="n">
        <v>107337.31</v>
      </c>
    </row>
    <row r="61">
      <c r="A61" t="inlineStr">
        <is>
          <t>投资损失</t>
        </is>
      </c>
      <c r="B61" s="4" t="n">
        <v>-23384.9</v>
      </c>
      <c r="C61" s="4" t="n">
        <v>-60416.24</v>
      </c>
      <c r="D61" s="4" t="n">
        <v>-858801.71</v>
      </c>
    </row>
    <row r="62">
      <c r="A62" t="inlineStr">
        <is>
          <t>递延所得税资产减少</t>
        </is>
      </c>
      <c r="B62" s="4" t="n">
        <v>14291.58</v>
      </c>
      <c r="C62" s="4" t="n">
        <v>-9076.549999999999</v>
      </c>
      <c r="D62" s="4" t="n">
        <v>-11591.21</v>
      </c>
    </row>
    <row r="63">
      <c r="A63" t="inlineStr">
        <is>
          <t>递延所得税负债增加</t>
        </is>
      </c>
      <c r="B63" s="4" t="n">
        <v>8964.459999999999</v>
      </c>
      <c r="C63" s="4" t="n">
        <v>4660.86</v>
      </c>
      <c r="D63" s="4" t="n">
        <v>-8199.27</v>
      </c>
    </row>
    <row r="64">
      <c r="A64" t="inlineStr">
        <is>
          <t>存货的减少</t>
        </is>
      </c>
      <c r="B64" s="4" t="n">
        <v>97762.62</v>
      </c>
      <c r="C64" s="4" t="n">
        <v>-91417.08</v>
      </c>
      <c r="D64" s="4" t="n">
        <v>-366211.81</v>
      </c>
    </row>
    <row r="65">
      <c r="A65" t="inlineStr">
        <is>
          <t>经营性应收项目的减少</t>
        </is>
      </c>
      <c r="B65" s="4" t="n">
        <v>-214059.89</v>
      </c>
      <c r="C65" s="4" t="n">
        <v>-77918.96000000001</v>
      </c>
      <c r="D65" s="4" t="n">
        <v>-22961.86</v>
      </c>
    </row>
    <row r="66">
      <c r="A66" t="inlineStr">
        <is>
          <t>经营性应付项目的增加</t>
        </is>
      </c>
      <c r="B66" s="4" t="n">
        <v>105830.22</v>
      </c>
      <c r="C66" s="4" t="n">
        <v>76714.13</v>
      </c>
      <c r="D66" s="4" t="n">
        <v>379776.18</v>
      </c>
    </row>
    <row r="67">
      <c r="A67" t="inlineStr">
        <is>
          <t>已完工尚未结算款的减少(减:增加)</t>
        </is>
      </c>
      <c r="B67" s="4" t="n">
        <v>0</v>
      </c>
      <c r="C67" s="4" t="n">
        <v>0</v>
      </c>
      <c r="D67" s="4" t="n">
        <v>0</v>
      </c>
    </row>
    <row r="68">
      <c r="A68" t="inlineStr">
        <is>
          <t>已结算尚未完工款的增加(减:减少)</t>
        </is>
      </c>
      <c r="B68" s="4" t="n">
        <v>0</v>
      </c>
      <c r="C68" s="4" t="n">
        <v>0</v>
      </c>
      <c r="D68" s="4" t="n">
        <v>0</v>
      </c>
    </row>
    <row r="69">
      <c r="A69" t="inlineStr">
        <is>
          <t>其他</t>
        </is>
      </c>
      <c r="B69" s="4" t="n">
        <v>75600.64999999999</v>
      </c>
      <c r="C69" s="4" t="n">
        <v>36691.49</v>
      </c>
      <c r="D69" s="4" t="n">
        <v>80175.73</v>
      </c>
    </row>
    <row r="70">
      <c r="A70" t="inlineStr">
        <is>
          <t>经营活动产生现金流量净额</t>
        </is>
      </c>
      <c r="B70" s="4" t="n">
        <v>1338691.18</v>
      </c>
      <c r="C70" s="4" t="n">
        <v>1240651.48</v>
      </c>
      <c r="D70" s="4" t="n">
        <v>1720316.16</v>
      </c>
    </row>
    <row r="71">
      <c r="A71" t="inlineStr">
        <is>
          <t>债务转为资本</t>
        </is>
      </c>
      <c r="B71" s="4" t="n">
        <v>0</v>
      </c>
      <c r="C71" s="4" t="n">
        <v>0</v>
      </c>
      <c r="D71" s="4" t="n">
        <v>0</v>
      </c>
    </row>
    <row r="72">
      <c r="A72" t="inlineStr">
        <is>
          <t>一年内到期的可转换公司债券</t>
        </is>
      </c>
      <c r="B72" s="4" t="n">
        <v>0</v>
      </c>
      <c r="C72" s="4" t="n">
        <v>0</v>
      </c>
      <c r="D72" s="4" t="n">
        <v>0</v>
      </c>
    </row>
    <row r="73">
      <c r="A73" t="inlineStr">
        <is>
          <t>融资租入固定资产</t>
        </is>
      </c>
      <c r="B73" s="4" t="n">
        <v>0</v>
      </c>
      <c r="C73" s="4" t="n">
        <v>0</v>
      </c>
      <c r="D73" s="4" t="n">
        <v>0</v>
      </c>
    </row>
    <row r="74">
      <c r="A74" t="inlineStr">
        <is>
          <t>现金的期末余额</t>
        </is>
      </c>
      <c r="B74" s="4" t="n">
        <v>1000103.88</v>
      </c>
      <c r="C74" s="4" t="n">
        <v>1344471.12</v>
      </c>
      <c r="D74" s="4" t="n">
        <v>2945583.05</v>
      </c>
    </row>
    <row r="75">
      <c r="A75" t="inlineStr">
        <is>
          <t>现金的期初余额</t>
        </is>
      </c>
      <c r="B75" s="4" t="n">
        <v>798390.4300000001</v>
      </c>
      <c r="C75" s="4" t="n">
        <v>1000103.88</v>
      </c>
      <c r="D75" s="4" t="n">
        <v>1344471.12</v>
      </c>
    </row>
    <row r="76">
      <c r="A76" t="inlineStr">
        <is>
          <t>现金等价物的期末余额</t>
        </is>
      </c>
      <c r="B76" s="4" t="n">
        <v>0</v>
      </c>
      <c r="C76" s="4" t="n">
        <v>0</v>
      </c>
      <c r="D76" s="4" t="n">
        <v>0</v>
      </c>
    </row>
    <row r="77">
      <c r="A77" t="inlineStr">
        <is>
          <t>现金等价物的期初余额</t>
        </is>
      </c>
      <c r="B77" s="4" t="n">
        <v>0</v>
      </c>
      <c r="C77" s="4" t="n">
        <v>0</v>
      </c>
      <c r="D77" s="4" t="n">
        <v>0</v>
      </c>
    </row>
    <row r="78">
      <c r="A78" t="inlineStr">
        <is>
          <t>现金及现金等价物的净增加额</t>
        </is>
      </c>
      <c r="B78" s="4" t="n">
        <v>201713.45</v>
      </c>
      <c r="C78" s="4" t="n">
        <v>344367.24</v>
      </c>
      <c r="D78" s="4" t="n">
        <v>1601111.93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2026-07-07T01:56:35Z</dcterms:created>
  <dcterms:modified xmlns:dcterms="http://purl.org/dc/terms/" xmlns:xsi="http://www.w3.org/2001/XMLSchema-instance" xsi:type="dcterms:W3CDTF">2026-07-07T06:40:37Z</dcterms:modified>
  <cp:lastModifiedBy>1501293148@qq.com</cp:lastModifiedBy>
</cp:coreProperties>
</file>